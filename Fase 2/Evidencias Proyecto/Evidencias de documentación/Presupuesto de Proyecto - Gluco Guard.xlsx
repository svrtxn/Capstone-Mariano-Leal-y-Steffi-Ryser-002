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 Recursos" sheetId="1" r:id="rId4"/>
    <sheet state="visible" name="Presupuesto Detallado" sheetId="2" r:id="rId5"/>
    <sheet state="visible" name="Datos" sheetId="3" r:id="rId6"/>
    <sheet state="visible" name="Instructivo" sheetId="4" r:id="rId7"/>
  </sheets>
  <definedNames/>
  <calcPr/>
  <extLst>
    <ext uri="GoogleSheetsCustomDataVersion2">
      <go:sheetsCustomData xmlns:go="http://customooxmlschemas.google.com/" r:id="rId8" roundtripDataChecksum="ALQ+wd+ExAFA73gxyIHNYCJNckghCugsySuwcHQNw5I="/>
    </ext>
  </extLst>
</workbook>
</file>

<file path=xl/sharedStrings.xml><?xml version="1.0" encoding="utf-8"?>
<sst xmlns="http://schemas.openxmlformats.org/spreadsheetml/2006/main" count="200" uniqueCount="81">
  <si>
    <t xml:space="preserve"> </t>
  </si>
  <si>
    <t>Presupuesto de Proyecto</t>
  </si>
  <si>
    <t>Gluco Guard</t>
  </si>
  <si>
    <t>Elaborado por: pmoinformatica.com</t>
  </si>
  <si>
    <t>% Reserva de Contingencia</t>
  </si>
  <si>
    <t>Líder del Proyecto: Mariano Leal</t>
  </si>
  <si>
    <t>Presupuesto</t>
  </si>
  <si>
    <t>Reservas</t>
  </si>
  <si>
    <t>Total</t>
  </si>
  <si>
    <t>Fecha de Inicio: 15/09/2025</t>
  </si>
  <si>
    <t>Categoría</t>
  </si>
  <si>
    <t>Recurso</t>
  </si>
  <si>
    <t>Tipo de Unidades</t>
  </si>
  <si>
    <t>Tasa</t>
  </si>
  <si>
    <t>Costos Directos</t>
  </si>
  <si>
    <t>Labor (Personal)</t>
  </si>
  <si>
    <t>Gerente de Proyecto</t>
  </si>
  <si>
    <t>Desarrollador Backend</t>
  </si>
  <si>
    <t>Desarrollador Frontend</t>
  </si>
  <si>
    <t>Diseñador UI/UX</t>
  </si>
  <si>
    <t>QA / Tester</t>
  </si>
  <si>
    <t>Pruebas y simulación del sensor</t>
  </si>
  <si>
    <t>Consultoría</t>
  </si>
  <si>
    <t>Consultor de seguridad</t>
  </si>
  <si>
    <t>Materiales</t>
  </si>
  <si>
    <t>Integración CGM Freestyle Libre 2</t>
  </si>
  <si>
    <t>Material educativo y documentación</t>
  </si>
  <si>
    <t>Dispositivos móviles para testing</t>
  </si>
  <si>
    <t>Backend / API y base de datos (hosting)</t>
  </si>
  <si>
    <t>Licencias</t>
  </si>
  <si>
    <t>Diseño y prototipado (Figma Pro / Canva Pro)</t>
  </si>
  <si>
    <t>Notificaciones Push (Firebase)</t>
  </si>
  <si>
    <t>Viajes</t>
  </si>
  <si>
    <t>Gastos por viajes</t>
  </si>
  <si>
    <t>Costos Indirectos</t>
  </si>
  <si>
    <t>Marketing y Comunicación</t>
  </si>
  <si>
    <t>Despliegue y mantenimiento</t>
  </si>
  <si>
    <t>Capacitación del equipo</t>
  </si>
  <si>
    <t>Hosting y dominio web</t>
  </si>
  <si>
    <t>Código</t>
  </si>
  <si>
    <t>Tarea / Actividad</t>
  </si>
  <si>
    <t>Elemento</t>
  </si>
  <si>
    <t>Tipo de Recurso</t>
  </si>
  <si>
    <t>Unidades</t>
  </si>
  <si>
    <t>Planificación del Proyecto</t>
  </si>
  <si>
    <t>Desarrollo de la Plataforma</t>
  </si>
  <si>
    <t>Integración del CGM y Terra API</t>
  </si>
  <si>
    <t>Integración Terra API</t>
  </si>
  <si>
    <t>Prototipado y diseño de interfaz</t>
  </si>
  <si>
    <t>Marketing, Comunicación y Material Educativo</t>
  </si>
  <si>
    <t>Horas / Jornadas</t>
  </si>
  <si>
    <t>Consultor</t>
  </si>
  <si>
    <t>Cantidad</t>
  </si>
  <si>
    <t xml:space="preserve">Licencias </t>
  </si>
  <si>
    <t>NA</t>
  </si>
  <si>
    <t>Materiales / Infraestructura</t>
  </si>
  <si>
    <t>Gastos indirectos</t>
  </si>
  <si>
    <t>Licencias / Servicios</t>
  </si>
  <si>
    <t>Hoja: Tasas</t>
  </si>
  <si>
    <t>Descripción:</t>
  </si>
  <si>
    <t>Se usa para registrar los datos maestros para el cálculo del Presupuesto a partir de los recursos.</t>
  </si>
  <si>
    <t>Columna</t>
  </si>
  <si>
    <t>Instrucciones</t>
  </si>
  <si>
    <t>Aquí se especifica el nombre del Recurso, Gerente de Proyectos, Desarrollador.</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</si>
  <si>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</si>
  <si>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El tipo de unidad para medir la utilización del recurso, para el caso de personas, pueden ser las horas o jornadas, para materiales, la cantidad de piezas, volumenes o peso. Pueden utilizarse otras según sea el caso.</t>
  </si>
  <si>
    <t>La tasa en moneda a aplicar por la utilización del recurso, por ejemplo para personas esto será el costo por hora o jornada, para consultores la tarifa, para materiales el costo unitario, y así sucesivamente según el tipo de recurso.</t>
  </si>
  <si>
    <t>Hoja: Presupuesto detallado</t>
  </si>
  <si>
    <t>Se detallan los costos por recurso para cada actividad del Proyecto. Luego estos se sumarizan por actividades de mayor nivel</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</si>
  <si>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</si>
  <si>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</si>
  <si>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</si>
  <si>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Indica si es un Recurso de tipo Labor, Materiales, Licencias, Gastos por viajes, Gastos indirectos, o cualquier otro.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</si>
  <si>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</si>
  <si>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Aquí se registra el número de unidades del Recurso que consumirá la actividad, debe ser especificado según la estimación realizada (según método de estimación seleccionado).</t>
  </si>
  <si>
    <t>La tasa en moneda a aplicar por la utilización del recurso, su valor lo obtiene el libro Excel automáticamente, buscando en la Hoja "Datos" la Tasa que corresponde al Elemento especificado.</t>
  </si>
  <si>
    <t>Multiplicando la tasa en moneda por el uso del recurso, por las unidades, se obtiene el costo total para la actividad por el uso de dicho recurso.</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</si>
  <si>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</si>
  <si>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</si>
  <si>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</si>
  <si>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En esta columna se sumariza el Presupuesto del Recurso en cada actividad de la hoja de Presupuesto Detallado, presentando de esta forma un subtotal por Recurso.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</si>
</sst>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 #,##0.00_ ;_ * \-#,##0.00_ ;_ * &quot;-&quot;??_ ;_ @_ "/>
    <numFmt numFmtId="165" formatCode="[$$]#,##0"/>
  </numFmts>
  <fonts count="10">
    <font>
      <sz val="11.0"/>
      <color theme="1"/>
      <name val="Calibri"/>
      <scheme val="minor"/>
    </font>
    <font>
      <sz val="11.0"/>
      <color theme="1"/>
      <name val="Calibri"/>
    </font>
    <font>
      <b/>
      <sz val="20.0"/>
      <color theme="1"/>
      <name val="Calibri"/>
    </font>
    <font>
      <b/>
      <sz val="11.0"/>
      <color theme="1"/>
      <name val="Calibri"/>
    </font>
    <font>
      <b/>
      <sz val="14.0"/>
      <color rgb="FF1F497D"/>
      <name val="Calibri"/>
    </font>
    <font>
      <sz val="10.0"/>
      <color theme="1"/>
      <name val="Calibri"/>
    </font>
    <font>
      <sz val="12.0"/>
      <color theme="1"/>
      <name val="Calibri"/>
    </font>
    <font>
      <b/>
      <sz val="12.0"/>
      <color theme="1"/>
      <name val="Calibri"/>
    </font>
    <font>
      <color theme="1"/>
      <name val="Calibri"/>
      <scheme val="minor"/>
    </font>
    <font>
      <sz val="11.0"/>
      <color rgb="FF1F1F1F"/>
      <name val="Calibri"/>
      <scheme val="minor"/>
    </font>
  </fonts>
  <fills count="5">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s>
  <borders count="3">
    <border/>
    <border>
      <left/>
      <right/>
      <top/>
      <bottom/>
    </border>
    <border>
      <left/>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2" fontId="1" numFmtId="0" xfId="0" applyBorder="1" applyFont="1"/>
    <xf borderId="1" fillId="2" fontId="3" numFmtId="0" xfId="0" applyAlignment="1" applyBorder="1" applyFont="1">
      <alignment readingOrder="0"/>
    </xf>
    <xf borderId="1" fillId="2" fontId="4" numFmtId="0" xfId="0" applyBorder="1" applyFont="1"/>
    <xf borderId="1" fillId="2" fontId="1" numFmtId="9" xfId="0" applyBorder="1" applyFont="1" applyNumberFormat="1"/>
    <xf borderId="1" fillId="2" fontId="5" numFmtId="0" xfId="0" applyAlignment="1" applyBorder="1" applyFont="1">
      <alignment readingOrder="0"/>
    </xf>
    <xf borderId="1" fillId="2" fontId="6" numFmtId="0" xfId="0" applyBorder="1" applyFont="1"/>
    <xf borderId="1" fillId="2" fontId="7" numFmtId="0" xfId="0" applyAlignment="1" applyBorder="1" applyFont="1">
      <alignment horizontal="center"/>
    </xf>
    <xf borderId="1" fillId="2" fontId="7" numFmtId="0" xfId="0" applyBorder="1" applyFont="1"/>
    <xf borderId="1" fillId="3" fontId="6" numFmtId="164" xfId="0" applyBorder="1" applyFill="1" applyFont="1" applyNumberFormat="1"/>
    <xf borderId="1" fillId="3" fontId="3" numFmtId="0" xfId="0" applyAlignment="1" applyBorder="1" applyFont="1">
      <alignment horizontal="left" vertical="top"/>
    </xf>
    <xf borderId="1" fillId="3" fontId="3" numFmtId="165" xfId="0" applyAlignment="1" applyBorder="1" applyFont="1" applyNumberFormat="1">
      <alignment horizontal="left" readingOrder="0" vertical="top"/>
    </xf>
    <xf borderId="1" fillId="2" fontId="1" numFmtId="0" xfId="0" applyAlignment="1" applyBorder="1" applyFont="1">
      <alignment horizontal="left" vertical="top"/>
    </xf>
    <xf borderId="1" fillId="2" fontId="1" numFmtId="164" xfId="0" applyAlignment="1" applyBorder="1" applyFont="1" applyNumberFormat="1">
      <alignment horizontal="left" vertical="top"/>
    </xf>
    <xf borderId="1" fillId="2" fontId="1" numFmtId="0" xfId="0" applyAlignment="1" applyBorder="1" applyFont="1">
      <alignment horizontal="left" readingOrder="0" vertical="top"/>
    </xf>
    <xf borderId="1" fillId="2" fontId="1" numFmtId="165" xfId="0" applyAlignment="1" applyBorder="1" applyFont="1" applyNumberFormat="1">
      <alignment horizontal="right" vertical="top"/>
    </xf>
    <xf borderId="1" fillId="2" fontId="1" numFmtId="164" xfId="0" applyAlignment="1" applyBorder="1" applyFont="1" applyNumberFormat="1">
      <alignment horizontal="right" vertical="top"/>
    </xf>
    <xf borderId="0" fillId="0" fontId="8" numFmtId="0" xfId="0" applyAlignment="1" applyFont="1">
      <alignment readingOrder="0"/>
    </xf>
    <xf borderId="0" fillId="4" fontId="9" numFmtId="0" xfId="0" applyAlignment="1" applyFill="1" applyFont="1">
      <alignment readingOrder="0"/>
    </xf>
    <xf borderId="1" fillId="2" fontId="1" numFmtId="0" xfId="0" applyAlignment="1" applyBorder="1" applyFont="1">
      <alignment horizontal="right" vertical="top"/>
    </xf>
    <xf borderId="1" fillId="2" fontId="1" numFmtId="165" xfId="0" applyAlignment="1" applyBorder="1" applyFont="1" applyNumberFormat="1">
      <alignment horizontal="right" readingOrder="0"/>
    </xf>
    <xf borderId="1" fillId="2" fontId="1" numFmtId="164" xfId="0" applyAlignment="1" applyBorder="1" applyFont="1" applyNumberFormat="1">
      <alignment horizontal="right" readingOrder="0" vertical="top"/>
    </xf>
    <xf borderId="1" fillId="3" fontId="3" numFmtId="164" xfId="0" applyAlignment="1" applyBorder="1" applyFont="1" applyNumberFormat="1">
      <alignment horizontal="left" vertical="top"/>
    </xf>
    <xf borderId="1" fillId="2" fontId="7" numFmtId="0" xfId="0" applyAlignment="1" applyBorder="1" applyFont="1">
      <alignment horizontal="center" shrinkToFit="0" wrapText="1"/>
    </xf>
    <xf borderId="1" fillId="3" fontId="3" numFmtId="0" xfId="0" applyAlignment="1" applyBorder="1" applyFont="1">
      <alignment horizontal="left" readingOrder="0" vertical="top"/>
    </xf>
    <xf borderId="1" fillId="3" fontId="1" numFmtId="0" xfId="0" applyAlignment="1" applyBorder="1" applyFont="1">
      <alignment horizontal="left" vertical="top"/>
    </xf>
    <xf borderId="1" fillId="3" fontId="1" numFmtId="0" xfId="0" applyAlignment="1" applyBorder="1" applyFont="1">
      <alignment horizontal="right" vertical="top"/>
    </xf>
    <xf borderId="1" fillId="3" fontId="3" numFmtId="165" xfId="0" applyAlignment="1" applyBorder="1" applyFont="1" applyNumberFormat="1">
      <alignment horizontal="right" readingOrder="0" vertical="top"/>
    </xf>
    <xf borderId="1" fillId="2" fontId="0" numFmtId="0" xfId="0" applyAlignment="1" applyBorder="1" applyFont="1">
      <alignment readingOrder="0"/>
    </xf>
    <xf borderId="1" fillId="2" fontId="1" numFmtId="165" xfId="0" applyAlignment="1" applyBorder="1" applyFont="1" applyNumberFormat="1">
      <alignment horizontal="right" readingOrder="0" vertical="top"/>
    </xf>
    <xf borderId="0" fillId="0" fontId="8" numFmtId="165" xfId="0" applyFont="1" applyNumberFormat="1"/>
    <xf borderId="1" fillId="3" fontId="0" numFmtId="0" xfId="0" applyAlignment="1" applyBorder="1" applyFont="1">
      <alignment horizontal="right" vertical="top"/>
    </xf>
    <xf borderId="1" fillId="2" fontId="0" numFmtId="0" xfId="0" applyAlignment="1" applyBorder="1" applyFont="1">
      <alignment horizontal="left" readingOrder="0" vertical="top"/>
    </xf>
    <xf borderId="1" fillId="3" fontId="0" numFmtId="0" xfId="0" applyAlignment="1" applyBorder="1" applyFont="1">
      <alignment horizontal="left" vertical="top"/>
    </xf>
    <xf borderId="1" fillId="2" fontId="1" numFmtId="165" xfId="0" applyAlignment="1" applyBorder="1" applyFont="1" applyNumberFormat="1">
      <alignment horizontal="left" readingOrder="0" vertical="top"/>
    </xf>
    <xf borderId="1" fillId="2" fontId="1" numFmtId="165" xfId="0" applyAlignment="1" applyBorder="1" applyFont="1" applyNumberFormat="1">
      <alignment horizontal="left" readingOrder="0"/>
    </xf>
    <xf borderId="1" fillId="2" fontId="3" numFmtId="0" xfId="0" applyBorder="1" applyFont="1"/>
    <xf borderId="1" fillId="2" fontId="7" numFmtId="0" xfId="0" applyAlignment="1" applyBorder="1" applyFont="1">
      <alignment horizontal="left"/>
    </xf>
    <xf borderId="2" fillId="2" fontId="1" numFmtId="0" xfId="0" applyAlignment="1" applyBorder="1" applyFont="1">
      <alignment horizontal="left" vertical="top"/>
    </xf>
    <xf borderId="2" fillId="2" fontId="1" numFmtId="0" xfId="0" applyAlignment="1" applyBorder="1" applyFont="1">
      <alignment horizontal="left" readingOrder="0" shrinkToFit="0" vertical="top" wrapText="1"/>
    </xf>
    <xf borderId="2" fillId="2" fontId="1" numFmtId="0" xfId="0" applyAlignment="1" applyBorder="1" applyFont="1">
      <alignment horizontal="left" shrinkToFit="0" vertical="top" wrapText="1"/>
    </xf>
    <xf borderId="1" fillId="2" fontId="1" numFmtId="0" xfId="0" applyAlignment="1" applyBorder="1" applyFont="1">
      <alignment horizontal="left" shrinkToFit="0" vertical="top" wrapText="1"/>
    </xf>
    <xf borderId="1" fillId="2"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39.43"/>
    <col customWidth="1" min="4" max="4" width="5.71"/>
    <col customWidth="1" min="5" max="5" width="19.0"/>
    <col customWidth="1" min="6" max="6" width="29.43"/>
    <col customWidth="1" min="7" max="7" width="21.29"/>
    <col customWidth="1" min="8" max="26" width="11.43"/>
  </cols>
  <sheetData>
    <row r="1" ht="14.25" customHeight="1">
      <c r="A1" s="1" t="s">
        <v>0</v>
      </c>
      <c r="B1" s="2" t="s">
        <v>1</v>
      </c>
      <c r="C1" s="3"/>
      <c r="D1" s="3"/>
      <c r="E1" s="3"/>
      <c r="F1" s="4" t="s">
        <v>2</v>
      </c>
      <c r="G1" s="3"/>
      <c r="H1" s="3"/>
      <c r="I1" s="3"/>
      <c r="J1" s="3"/>
      <c r="K1" s="3"/>
      <c r="L1" s="3"/>
      <c r="M1" s="3"/>
      <c r="N1" s="3"/>
      <c r="O1" s="3"/>
      <c r="P1" s="3"/>
      <c r="Q1" s="3"/>
      <c r="R1" s="3"/>
      <c r="S1" s="3"/>
      <c r="T1" s="3"/>
      <c r="U1" s="3"/>
      <c r="V1" s="3"/>
      <c r="W1" s="3"/>
      <c r="X1" s="3"/>
      <c r="Y1" s="3"/>
      <c r="Z1" s="3"/>
    </row>
    <row r="2" ht="14.25" customHeight="1">
      <c r="A2" s="3"/>
      <c r="B2" s="5" t="s">
        <v>3</v>
      </c>
      <c r="C2" s="3"/>
      <c r="D2" s="3"/>
      <c r="E2" s="3" t="s">
        <v>4</v>
      </c>
      <c r="F2" s="3"/>
      <c r="G2" s="6">
        <f>'Presupuesto Detallado'!I2</f>
        <v>0.3</v>
      </c>
      <c r="H2" s="3"/>
      <c r="I2" s="3"/>
      <c r="J2" s="3"/>
      <c r="K2" s="3"/>
      <c r="L2" s="3"/>
      <c r="M2" s="3"/>
      <c r="N2" s="3"/>
      <c r="O2" s="3"/>
      <c r="P2" s="3"/>
      <c r="Q2" s="3"/>
      <c r="R2" s="3"/>
      <c r="S2" s="3"/>
      <c r="T2" s="3"/>
      <c r="U2" s="3"/>
      <c r="V2" s="3"/>
      <c r="W2" s="3"/>
      <c r="X2" s="3"/>
      <c r="Y2" s="3"/>
      <c r="Z2" s="3"/>
    </row>
    <row r="3" ht="14.25" customHeight="1">
      <c r="A3" s="3"/>
      <c r="B3" s="7" t="s">
        <v>5</v>
      </c>
      <c r="C3" s="3"/>
      <c r="D3" s="8"/>
      <c r="E3" s="9" t="s">
        <v>6</v>
      </c>
      <c r="F3" s="9" t="s">
        <v>7</v>
      </c>
      <c r="G3" s="9" t="s">
        <v>8</v>
      </c>
      <c r="H3" s="3"/>
      <c r="I3" s="3"/>
      <c r="J3" s="3"/>
      <c r="K3" s="3"/>
      <c r="L3" s="3"/>
      <c r="M3" s="3"/>
      <c r="N3" s="3"/>
      <c r="O3" s="3"/>
      <c r="P3" s="3"/>
      <c r="Q3" s="3"/>
      <c r="R3" s="3"/>
      <c r="S3" s="3"/>
      <c r="T3" s="3"/>
      <c r="U3" s="3"/>
      <c r="V3" s="3"/>
      <c r="W3" s="3"/>
      <c r="X3" s="3"/>
      <c r="Y3" s="3"/>
      <c r="Z3" s="3"/>
    </row>
    <row r="4" ht="14.25" customHeight="1">
      <c r="A4" s="3"/>
      <c r="B4" s="7" t="s">
        <v>9</v>
      </c>
      <c r="C4" s="3"/>
      <c r="D4" s="10" t="s">
        <v>8</v>
      </c>
      <c r="E4" s="11">
        <f>'Presupuesto Detallado'!G4</f>
        <v>46200300</v>
      </c>
      <c r="F4" s="11">
        <f>E4*G2</f>
        <v>13860090</v>
      </c>
      <c r="G4" s="11">
        <f>SUM(E4:F4)</f>
        <v>60060390</v>
      </c>
      <c r="H4" s="3"/>
      <c r="I4" s="3"/>
      <c r="J4" s="3"/>
      <c r="K4" s="3"/>
      <c r="L4" s="3"/>
      <c r="M4" s="3"/>
      <c r="N4" s="3"/>
      <c r="O4" s="3"/>
      <c r="P4" s="3"/>
      <c r="Q4" s="3"/>
      <c r="R4" s="3"/>
      <c r="S4" s="3"/>
      <c r="T4" s="3"/>
      <c r="U4" s="3"/>
      <c r="V4" s="3"/>
      <c r="W4" s="3"/>
      <c r="X4" s="3"/>
      <c r="Y4" s="3"/>
      <c r="Z4" s="3"/>
    </row>
    <row r="5" ht="14.25" customHeight="1">
      <c r="A5" s="3"/>
      <c r="B5" s="3"/>
      <c r="C5" s="3"/>
      <c r="D5" s="3"/>
      <c r="E5" s="3"/>
      <c r="F5" s="3"/>
      <c r="G5" s="3"/>
      <c r="H5" s="3"/>
      <c r="I5" s="3"/>
      <c r="J5" s="3"/>
      <c r="K5" s="3"/>
      <c r="L5" s="3"/>
      <c r="M5" s="3"/>
      <c r="N5" s="3"/>
      <c r="O5" s="3"/>
      <c r="P5" s="3"/>
      <c r="Q5" s="3"/>
      <c r="R5" s="3"/>
      <c r="S5" s="3"/>
      <c r="T5" s="3"/>
      <c r="U5" s="3"/>
      <c r="V5" s="3"/>
      <c r="W5" s="3"/>
      <c r="X5" s="3"/>
      <c r="Y5" s="3"/>
      <c r="Z5" s="3"/>
    </row>
    <row r="6" ht="14.25" customHeight="1">
      <c r="A6" s="3"/>
      <c r="B6" s="9" t="s">
        <v>10</v>
      </c>
      <c r="C6" s="9" t="s">
        <v>11</v>
      </c>
      <c r="D6" s="9"/>
      <c r="E6" s="9" t="s">
        <v>12</v>
      </c>
      <c r="F6" s="9" t="s">
        <v>13</v>
      </c>
      <c r="G6" s="9" t="s">
        <v>6</v>
      </c>
      <c r="H6" s="3"/>
      <c r="I6" s="3"/>
      <c r="J6" s="3"/>
      <c r="K6" s="3"/>
      <c r="L6" s="3"/>
      <c r="M6" s="3"/>
      <c r="N6" s="3"/>
      <c r="O6" s="3"/>
      <c r="P6" s="3"/>
      <c r="Q6" s="3"/>
      <c r="R6" s="3"/>
      <c r="S6" s="3"/>
      <c r="T6" s="3"/>
      <c r="U6" s="3"/>
      <c r="V6" s="3"/>
      <c r="W6" s="3"/>
      <c r="X6" s="3"/>
      <c r="Y6" s="3"/>
      <c r="Z6" s="3"/>
    </row>
    <row r="7" ht="14.25" customHeight="1">
      <c r="A7" s="3"/>
      <c r="B7" s="12" t="s">
        <v>14</v>
      </c>
      <c r="C7" s="12"/>
      <c r="D7" s="12"/>
      <c r="E7" s="12"/>
      <c r="F7" s="12"/>
      <c r="G7" s="13">
        <f>G4</f>
        <v>60060390</v>
      </c>
      <c r="H7" s="3"/>
      <c r="I7" s="3"/>
      <c r="J7" s="3"/>
      <c r="K7" s="3"/>
      <c r="L7" s="3"/>
      <c r="M7" s="3"/>
      <c r="N7" s="3"/>
      <c r="O7" s="3"/>
      <c r="P7" s="3"/>
      <c r="Q7" s="3"/>
      <c r="R7" s="3"/>
      <c r="S7" s="3"/>
      <c r="T7" s="3"/>
      <c r="U7" s="3"/>
      <c r="V7" s="3"/>
      <c r="W7" s="3"/>
      <c r="X7" s="3"/>
      <c r="Y7" s="3"/>
      <c r="Z7" s="3"/>
    </row>
    <row r="8" ht="14.25" customHeight="1">
      <c r="A8" s="3"/>
      <c r="B8" s="14" t="s">
        <v>15</v>
      </c>
      <c r="C8" s="14"/>
      <c r="D8" s="14"/>
      <c r="E8" s="14"/>
      <c r="F8" s="14"/>
      <c r="G8" s="15"/>
      <c r="H8" s="3"/>
      <c r="I8" s="3"/>
      <c r="J8" s="3"/>
      <c r="K8" s="3"/>
      <c r="L8" s="3"/>
      <c r="M8" s="3"/>
      <c r="N8" s="3"/>
      <c r="O8" s="3"/>
      <c r="P8" s="3"/>
      <c r="Q8" s="3"/>
      <c r="R8" s="3"/>
      <c r="S8" s="3"/>
      <c r="T8" s="3"/>
      <c r="U8" s="3"/>
      <c r="V8" s="3"/>
      <c r="W8" s="3"/>
      <c r="X8" s="3"/>
      <c r="Y8" s="3"/>
      <c r="Z8" s="3"/>
    </row>
    <row r="9" ht="14.25" customHeight="1">
      <c r="A9" s="3"/>
      <c r="B9" s="14"/>
      <c r="C9" s="16" t="s">
        <v>16</v>
      </c>
      <c r="D9" s="14"/>
      <c r="E9" s="14" t="str">
        <f>VLOOKUP(C9,Datos!$B$8:$E$26,3,)</f>
        <v>Horas / Jornadas</v>
      </c>
      <c r="F9" s="17">
        <f>VLOOKUP(C9,Datos!$B$8:$E$18,4,)</f>
        <v>90000</v>
      </c>
      <c r="G9" s="18"/>
      <c r="H9" s="3"/>
      <c r="I9" s="3"/>
      <c r="J9" s="3"/>
      <c r="K9" s="3"/>
      <c r="L9" s="3"/>
      <c r="M9" s="3"/>
      <c r="N9" s="3"/>
      <c r="O9" s="3"/>
      <c r="P9" s="3"/>
      <c r="Q9" s="3"/>
      <c r="R9" s="3"/>
      <c r="S9" s="3"/>
      <c r="T9" s="3"/>
      <c r="U9" s="3"/>
      <c r="V9" s="3"/>
      <c r="W9" s="3"/>
      <c r="X9" s="3"/>
      <c r="Y9" s="3"/>
      <c r="Z9" s="3"/>
    </row>
    <row r="10" ht="14.25" customHeight="1">
      <c r="A10" s="3"/>
      <c r="B10" s="14"/>
      <c r="C10" s="19" t="s">
        <v>17</v>
      </c>
      <c r="D10" s="14"/>
      <c r="E10" s="14" t="str">
        <f>VLOOKUP(C10,Datos!$B$8:$E$26,3,)</f>
        <v>Horas / Jornadas</v>
      </c>
      <c r="F10" s="17">
        <f>Datos!E9</f>
        <v>60000</v>
      </c>
      <c r="G10" s="18"/>
      <c r="H10" s="3"/>
      <c r="I10" s="3"/>
      <c r="J10" s="3"/>
      <c r="K10" s="3"/>
      <c r="L10" s="3"/>
      <c r="M10" s="3"/>
      <c r="N10" s="3"/>
      <c r="O10" s="3"/>
      <c r="P10" s="3"/>
      <c r="Q10" s="3"/>
      <c r="R10" s="3"/>
      <c r="S10" s="3"/>
      <c r="T10" s="3"/>
      <c r="U10" s="3"/>
      <c r="V10" s="3"/>
      <c r="W10" s="3"/>
      <c r="X10" s="3"/>
      <c r="Y10" s="3"/>
      <c r="Z10" s="3"/>
    </row>
    <row r="11" ht="14.25" customHeight="1">
      <c r="A11" s="3"/>
      <c r="B11" s="14"/>
      <c r="C11" s="19" t="s">
        <v>18</v>
      </c>
      <c r="D11" s="14"/>
      <c r="E11" s="14" t="str">
        <f>VLOOKUP(C11,Datos!$B$8:$E$26,3,)</f>
        <v>Horas / Jornadas</v>
      </c>
      <c r="F11" s="17">
        <f>VLOOKUP(C11,Datos!$B$8:$E$18,4,)</f>
        <v>60000</v>
      </c>
      <c r="G11" s="18"/>
      <c r="H11" s="3"/>
      <c r="I11" s="3"/>
      <c r="J11" s="3"/>
      <c r="K11" s="3"/>
      <c r="L11" s="3"/>
      <c r="M11" s="3"/>
      <c r="N11" s="3"/>
      <c r="O11" s="3"/>
      <c r="P11" s="3"/>
      <c r="Q11" s="3"/>
      <c r="R11" s="3"/>
      <c r="S11" s="3"/>
      <c r="T11" s="3"/>
      <c r="U11" s="3"/>
      <c r="V11" s="3"/>
      <c r="W11" s="3"/>
      <c r="X11" s="3"/>
      <c r="Y11" s="3"/>
      <c r="Z11" s="3"/>
    </row>
    <row r="12" ht="14.25" customHeight="1">
      <c r="A12" s="3"/>
      <c r="B12" s="14"/>
      <c r="C12" s="16" t="s">
        <v>19</v>
      </c>
      <c r="D12" s="14"/>
      <c r="E12" s="14" t="str">
        <f>VLOOKUP(C12,Datos!$B$8:$E$26,3,)</f>
        <v>Horas / Jornadas</v>
      </c>
      <c r="F12" s="15">
        <f>Datos!E11</f>
        <v>50000</v>
      </c>
      <c r="G12" s="15"/>
      <c r="H12" s="3"/>
      <c r="I12" s="3"/>
      <c r="J12" s="3"/>
      <c r="K12" s="3"/>
      <c r="L12" s="3"/>
      <c r="M12" s="3"/>
      <c r="N12" s="3"/>
      <c r="O12" s="3"/>
      <c r="P12" s="3"/>
      <c r="Q12" s="3"/>
      <c r="R12" s="3"/>
      <c r="S12" s="3"/>
      <c r="T12" s="3"/>
      <c r="U12" s="3"/>
      <c r="V12" s="3"/>
      <c r="W12" s="3"/>
      <c r="X12" s="3"/>
      <c r="Y12" s="3"/>
      <c r="Z12" s="3"/>
    </row>
    <row r="13" ht="14.25" customHeight="1">
      <c r="A13" s="3"/>
      <c r="B13" s="14"/>
      <c r="C13" s="16" t="s">
        <v>20</v>
      </c>
      <c r="D13" s="14"/>
      <c r="E13" s="14" t="str">
        <f>VLOOKUP(C13,Datos!$B$8:$E$26,3,)</f>
        <v>Horas / Jornadas</v>
      </c>
      <c r="F13" s="15">
        <f>Datos!E12</f>
        <v>45000</v>
      </c>
      <c r="G13" s="15"/>
      <c r="H13" s="3"/>
      <c r="I13" s="3"/>
      <c r="J13" s="3"/>
      <c r="K13" s="3"/>
      <c r="L13" s="3"/>
      <c r="M13" s="3"/>
      <c r="N13" s="3"/>
      <c r="O13" s="3"/>
      <c r="P13" s="3"/>
      <c r="Q13" s="3"/>
      <c r="R13" s="3"/>
      <c r="S13" s="3"/>
      <c r="T13" s="3"/>
      <c r="U13" s="3"/>
      <c r="V13" s="3"/>
      <c r="W13" s="3"/>
      <c r="X13" s="3"/>
      <c r="Y13" s="3"/>
      <c r="Z13" s="3"/>
    </row>
    <row r="14" ht="14.25" customHeight="1">
      <c r="A14" s="3"/>
      <c r="B14" s="14"/>
      <c r="C14" s="1" t="s">
        <v>21</v>
      </c>
      <c r="D14" s="14"/>
      <c r="E14" s="14" t="str">
        <f>VLOOKUP(C14,Datos!$B$8:$E$26,3,)</f>
        <v>Horas / Jornadas</v>
      </c>
      <c r="F14" s="15"/>
      <c r="G14" s="15"/>
      <c r="H14" s="3"/>
      <c r="I14" s="3"/>
      <c r="J14" s="3"/>
      <c r="K14" s="3"/>
      <c r="L14" s="3"/>
      <c r="M14" s="3"/>
      <c r="N14" s="3"/>
      <c r="O14" s="3"/>
      <c r="P14" s="3"/>
      <c r="Q14" s="3"/>
      <c r="R14" s="3"/>
      <c r="S14" s="3"/>
      <c r="T14" s="3"/>
      <c r="U14" s="3"/>
      <c r="V14" s="3"/>
      <c r="W14" s="3"/>
      <c r="X14" s="3"/>
      <c r="Y14" s="3"/>
      <c r="Z14" s="3"/>
    </row>
    <row r="15" ht="14.25" customHeight="1">
      <c r="A15" s="3"/>
      <c r="B15" s="14" t="s">
        <v>22</v>
      </c>
      <c r="C15" s="14"/>
      <c r="D15" s="14"/>
      <c r="E15" s="14"/>
      <c r="F15" s="15"/>
      <c r="G15" s="15"/>
      <c r="H15" s="3"/>
      <c r="I15" s="3"/>
      <c r="J15" s="3"/>
      <c r="K15" s="3"/>
      <c r="L15" s="3"/>
      <c r="M15" s="3"/>
      <c r="N15" s="3"/>
      <c r="O15" s="3"/>
      <c r="P15" s="3"/>
      <c r="Q15" s="3"/>
      <c r="R15" s="3"/>
      <c r="S15" s="3"/>
      <c r="T15" s="3"/>
      <c r="U15" s="3"/>
      <c r="V15" s="3"/>
      <c r="W15" s="3"/>
      <c r="X15" s="3"/>
      <c r="Y15" s="3"/>
      <c r="Z15" s="3"/>
    </row>
    <row r="16" ht="14.25" customHeight="1">
      <c r="A16" s="3"/>
      <c r="B16" s="14"/>
      <c r="C16" s="16" t="s">
        <v>23</v>
      </c>
      <c r="D16" s="14"/>
      <c r="E16" s="14" t="str">
        <f>VLOOKUP(C16,Datos!$B$8:$E$26,3,)</f>
        <v>Horas / Jornadas</v>
      </c>
      <c r="F16" s="17">
        <f>VLOOKUP(C16,Datos!$B$8:$E$18,4,)</f>
        <v>120000</v>
      </c>
      <c r="G16" s="18"/>
      <c r="H16" s="3"/>
      <c r="I16" s="3"/>
      <c r="J16" s="3"/>
      <c r="K16" s="3"/>
      <c r="L16" s="3"/>
      <c r="M16" s="3"/>
      <c r="N16" s="3"/>
      <c r="O16" s="3"/>
      <c r="P16" s="3"/>
      <c r="Q16" s="3"/>
      <c r="R16" s="3"/>
      <c r="S16" s="3"/>
      <c r="T16" s="3"/>
      <c r="U16" s="3"/>
      <c r="V16" s="3"/>
      <c r="W16" s="3"/>
      <c r="X16" s="3"/>
      <c r="Y16" s="3"/>
      <c r="Z16" s="3"/>
    </row>
    <row r="17" ht="14.25" customHeight="1">
      <c r="A17" s="3"/>
      <c r="B17" s="14" t="s">
        <v>24</v>
      </c>
      <c r="C17" s="14"/>
      <c r="D17" s="14"/>
      <c r="E17" s="14"/>
      <c r="F17" s="15"/>
      <c r="G17" s="15"/>
      <c r="H17" s="3"/>
      <c r="I17" s="3"/>
      <c r="J17" s="3"/>
      <c r="K17" s="3"/>
      <c r="L17" s="3"/>
      <c r="M17" s="3"/>
      <c r="N17" s="3"/>
      <c r="O17" s="3"/>
      <c r="P17" s="3"/>
      <c r="Q17" s="3"/>
      <c r="R17" s="3"/>
      <c r="S17" s="3"/>
      <c r="T17" s="3"/>
      <c r="U17" s="3"/>
      <c r="V17" s="3"/>
      <c r="W17" s="3"/>
      <c r="X17" s="3"/>
      <c r="Y17" s="3"/>
      <c r="Z17" s="3"/>
    </row>
    <row r="18" ht="14.25" customHeight="1">
      <c r="A18" s="3"/>
      <c r="B18" s="14"/>
      <c r="C18" s="16" t="s">
        <v>25</v>
      </c>
      <c r="D18" s="14"/>
      <c r="E18" s="14" t="str">
        <f>VLOOKUP(C18,Datos!$B$8:$E$26,3,)</f>
        <v>Cantidad</v>
      </c>
      <c r="F18" s="17">
        <f>VLOOKUP(C18,Datos!$B$8:$E$18,4,)</f>
        <v>120000</v>
      </c>
      <c r="G18" s="18"/>
      <c r="H18" s="3"/>
      <c r="I18" s="3"/>
      <c r="J18" s="3"/>
      <c r="K18" s="3"/>
      <c r="L18" s="3"/>
      <c r="M18" s="3"/>
      <c r="N18" s="3"/>
      <c r="O18" s="3"/>
      <c r="P18" s="3"/>
      <c r="Q18" s="3"/>
      <c r="R18" s="3"/>
      <c r="S18" s="3"/>
      <c r="T18" s="3"/>
      <c r="U18" s="3"/>
      <c r="V18" s="3"/>
      <c r="W18" s="3"/>
      <c r="X18" s="3"/>
      <c r="Y18" s="3"/>
      <c r="Z18" s="3"/>
    </row>
    <row r="19" ht="14.25" customHeight="1">
      <c r="A19" s="3"/>
      <c r="B19" s="14"/>
      <c r="C19" s="20" t="s">
        <v>26</v>
      </c>
      <c r="D19" s="14"/>
      <c r="E19" s="14" t="str">
        <f>VLOOKUP(C19,Datos!$B$8:$E$26,3,)</f>
        <v>Cantidad</v>
      </c>
      <c r="F19" s="21"/>
      <c r="G19" s="18"/>
      <c r="H19" s="3"/>
      <c r="I19" s="3"/>
      <c r="J19" s="3"/>
      <c r="K19" s="3"/>
      <c r="L19" s="3"/>
      <c r="M19" s="3"/>
      <c r="N19" s="3"/>
      <c r="O19" s="3"/>
      <c r="P19" s="3"/>
      <c r="Q19" s="3"/>
      <c r="R19" s="3"/>
      <c r="S19" s="3"/>
      <c r="T19" s="3"/>
      <c r="U19" s="3"/>
      <c r="V19" s="3"/>
      <c r="W19" s="3"/>
      <c r="X19" s="3"/>
      <c r="Y19" s="3"/>
      <c r="Z19" s="3"/>
    </row>
    <row r="20" ht="14.25" customHeight="1">
      <c r="A20" s="3"/>
      <c r="B20" s="14"/>
      <c r="C20" s="1" t="s">
        <v>27</v>
      </c>
      <c r="D20" s="14"/>
      <c r="E20" s="14" t="str">
        <f>VLOOKUP(C20,Datos!$B$8:$E$26,3,)</f>
        <v>Cantidad</v>
      </c>
      <c r="F20" s="21"/>
      <c r="G20" s="18"/>
      <c r="H20" s="3"/>
      <c r="I20" s="3"/>
      <c r="J20" s="3"/>
      <c r="K20" s="3"/>
      <c r="L20" s="3"/>
      <c r="M20" s="3"/>
      <c r="N20" s="3"/>
      <c r="O20" s="3"/>
      <c r="P20" s="3"/>
      <c r="Q20" s="3"/>
      <c r="R20" s="3"/>
      <c r="S20" s="3"/>
      <c r="T20" s="3"/>
      <c r="U20" s="3"/>
      <c r="V20" s="3"/>
      <c r="W20" s="3"/>
      <c r="X20" s="3"/>
      <c r="Y20" s="3"/>
      <c r="Z20" s="3"/>
    </row>
    <row r="21" ht="14.25" customHeight="1">
      <c r="A21" s="3"/>
      <c r="B21" s="14"/>
      <c r="C21" s="16" t="s">
        <v>28</v>
      </c>
      <c r="D21" s="14"/>
      <c r="E21" s="14" t="str">
        <f>VLOOKUP(C21,Datos!$B$8:$E$26,3,)</f>
        <v>Horas / Jornadas</v>
      </c>
      <c r="F21" s="17">
        <f>VLOOKUP(C21,Datos!$B$8:$E$21,4,)</f>
        <v>100000</v>
      </c>
      <c r="G21" s="18"/>
      <c r="H21" s="3"/>
      <c r="I21" s="3"/>
      <c r="J21" s="3"/>
      <c r="K21" s="3"/>
      <c r="L21" s="3"/>
      <c r="M21" s="3"/>
      <c r="N21" s="3"/>
      <c r="O21" s="3"/>
      <c r="P21" s="3"/>
      <c r="Q21" s="3"/>
      <c r="R21" s="3"/>
      <c r="S21" s="3"/>
      <c r="T21" s="3"/>
      <c r="U21" s="3"/>
      <c r="V21" s="3"/>
      <c r="W21" s="3"/>
      <c r="X21" s="3"/>
      <c r="Y21" s="3"/>
      <c r="Z21" s="3"/>
    </row>
    <row r="22" ht="14.25" customHeight="1">
      <c r="A22" s="3"/>
      <c r="B22" s="14" t="s">
        <v>29</v>
      </c>
      <c r="C22" s="14"/>
      <c r="D22" s="14"/>
      <c r="E22" s="14"/>
      <c r="F22" s="15"/>
      <c r="G22" s="15"/>
      <c r="H22" s="3"/>
      <c r="I22" s="3"/>
      <c r="J22" s="3"/>
      <c r="K22" s="3"/>
      <c r="L22" s="3"/>
      <c r="M22" s="3"/>
      <c r="N22" s="3"/>
      <c r="O22" s="3"/>
      <c r="P22" s="3"/>
      <c r="Q22" s="3"/>
      <c r="R22" s="3"/>
      <c r="S22" s="3"/>
      <c r="T22" s="3"/>
      <c r="U22" s="3"/>
      <c r="V22" s="3"/>
      <c r="W22" s="3"/>
      <c r="X22" s="3"/>
      <c r="Y22" s="3"/>
      <c r="Z22" s="3"/>
    </row>
    <row r="23" ht="14.25" customHeight="1">
      <c r="A23" s="3"/>
      <c r="B23" s="14"/>
      <c r="C23" s="16" t="s">
        <v>30</v>
      </c>
      <c r="D23" s="14"/>
      <c r="E23" s="14" t="str">
        <f>VLOOKUP(C23,Datos!$B$8:$E$26,3,)</f>
        <v>NA</v>
      </c>
      <c r="F23" s="22">
        <v>1000000.0</v>
      </c>
      <c r="G23" s="18"/>
      <c r="H23" s="3"/>
      <c r="I23" s="3"/>
      <c r="J23" s="3"/>
      <c r="K23" s="3"/>
      <c r="L23" s="3"/>
      <c r="M23" s="3"/>
      <c r="N23" s="3"/>
      <c r="O23" s="3"/>
      <c r="P23" s="3"/>
      <c r="Q23" s="3"/>
      <c r="R23" s="3"/>
      <c r="S23" s="3"/>
      <c r="T23" s="3"/>
      <c r="U23" s="3"/>
      <c r="V23" s="3"/>
      <c r="W23" s="3"/>
      <c r="X23" s="3"/>
      <c r="Y23" s="3"/>
      <c r="Z23" s="3"/>
    </row>
    <row r="24" ht="14.25" customHeight="1">
      <c r="A24" s="3"/>
      <c r="B24" s="14"/>
      <c r="C24" s="1" t="s">
        <v>31</v>
      </c>
      <c r="D24" s="14"/>
      <c r="E24" s="14" t="str">
        <f>VLOOKUP(C24,Datos!$B$8:$E$26,3,)</f>
        <v>NA</v>
      </c>
      <c r="F24" s="22">
        <v>500000.0</v>
      </c>
      <c r="G24" s="18"/>
      <c r="H24" s="3"/>
      <c r="I24" s="3"/>
      <c r="J24" s="3"/>
      <c r="K24" s="3"/>
      <c r="L24" s="3"/>
      <c r="M24" s="3"/>
      <c r="N24" s="3"/>
      <c r="O24" s="3"/>
      <c r="P24" s="3"/>
      <c r="Q24" s="3"/>
      <c r="R24" s="3"/>
      <c r="S24" s="3"/>
      <c r="T24" s="3"/>
      <c r="U24" s="3"/>
      <c r="V24" s="3"/>
      <c r="W24" s="3"/>
      <c r="X24" s="3"/>
      <c r="Y24" s="3"/>
      <c r="Z24" s="3"/>
    </row>
    <row r="25" ht="14.25" customHeight="1">
      <c r="A25" s="3"/>
      <c r="B25" s="14" t="s">
        <v>32</v>
      </c>
      <c r="C25" s="14"/>
      <c r="D25" s="14"/>
      <c r="E25" s="14"/>
      <c r="F25" s="15"/>
      <c r="G25" s="15"/>
      <c r="H25" s="3"/>
      <c r="I25" s="3"/>
      <c r="J25" s="3"/>
      <c r="K25" s="3"/>
      <c r="L25" s="3"/>
      <c r="M25" s="3"/>
      <c r="N25" s="3"/>
      <c r="O25" s="3"/>
      <c r="P25" s="3"/>
      <c r="Q25" s="3"/>
      <c r="R25" s="3"/>
      <c r="S25" s="3"/>
      <c r="T25" s="3"/>
      <c r="U25" s="3"/>
      <c r="V25" s="3"/>
      <c r="W25" s="3"/>
      <c r="X25" s="3"/>
      <c r="Y25" s="3"/>
      <c r="Z25" s="3"/>
    </row>
    <row r="26" ht="14.25" customHeight="1">
      <c r="A26" s="3"/>
      <c r="B26" s="3"/>
      <c r="C26" s="1" t="s">
        <v>33</v>
      </c>
      <c r="D26" s="14"/>
      <c r="E26" s="14" t="str">
        <f>VLOOKUP(C26,Datos!$B$8:$E$26,3,)</f>
        <v>NA</v>
      </c>
      <c r="F26" s="17">
        <f>VLOOKUP(C26, Datos!$B$8:$E$26, 4, FALSE)</f>
        <v>40000</v>
      </c>
      <c r="G26" s="23"/>
      <c r="H26" s="3"/>
      <c r="I26" s="3"/>
      <c r="J26" s="3"/>
      <c r="K26" s="3"/>
      <c r="L26" s="3"/>
      <c r="M26" s="3"/>
      <c r="N26" s="3"/>
      <c r="O26" s="3"/>
      <c r="P26" s="3"/>
      <c r="Q26" s="3"/>
      <c r="R26" s="3"/>
      <c r="S26" s="3"/>
      <c r="T26" s="3"/>
      <c r="U26" s="3"/>
      <c r="V26" s="3"/>
      <c r="W26" s="3"/>
      <c r="X26" s="3"/>
      <c r="Y26" s="3"/>
      <c r="Z26" s="3"/>
    </row>
    <row r="27" ht="14.25" customHeight="1">
      <c r="A27" s="3"/>
      <c r="B27" s="12" t="s">
        <v>34</v>
      </c>
      <c r="C27" s="12"/>
      <c r="D27" s="12"/>
      <c r="E27" s="12"/>
      <c r="F27" s="12"/>
      <c r="G27" s="24"/>
      <c r="H27" s="3"/>
      <c r="I27" s="3"/>
      <c r="J27" s="3"/>
      <c r="K27" s="3"/>
      <c r="L27" s="3"/>
      <c r="M27" s="3"/>
      <c r="N27" s="3"/>
      <c r="O27" s="3"/>
      <c r="P27" s="3"/>
      <c r="Q27" s="3"/>
      <c r="R27" s="3"/>
      <c r="S27" s="3"/>
      <c r="T27" s="3"/>
      <c r="U27" s="3"/>
      <c r="V27" s="3"/>
      <c r="W27" s="3"/>
      <c r="X27" s="3"/>
      <c r="Y27" s="3"/>
      <c r="Z27" s="3"/>
    </row>
    <row r="28" ht="14.25" customHeight="1">
      <c r="A28" s="3"/>
      <c r="B28" s="14"/>
      <c r="C28" s="1" t="s">
        <v>35</v>
      </c>
      <c r="D28" s="14"/>
      <c r="E28" s="14" t="str">
        <f>VLOOKUP(C28,Datos!$B$8:$E$26,3,)</f>
        <v>NA</v>
      </c>
      <c r="F28" s="17">
        <f>VLOOKUP(C28, Datos!$B$8:$E$26, 4, FALSE)</f>
        <v>60000</v>
      </c>
      <c r="G28" s="18"/>
      <c r="H28" s="3"/>
      <c r="I28" s="3"/>
      <c r="J28" s="3"/>
      <c r="K28" s="3"/>
      <c r="L28" s="3"/>
      <c r="M28" s="3"/>
      <c r="N28" s="3"/>
      <c r="O28" s="3"/>
      <c r="P28" s="3"/>
      <c r="Q28" s="3"/>
      <c r="R28" s="3"/>
      <c r="S28" s="3"/>
      <c r="T28" s="3"/>
      <c r="U28" s="3"/>
      <c r="V28" s="3"/>
      <c r="W28" s="3"/>
      <c r="X28" s="3"/>
      <c r="Y28" s="3"/>
      <c r="Z28" s="3"/>
    </row>
    <row r="29" ht="14.25" customHeight="1">
      <c r="A29" s="3"/>
      <c r="B29" s="14"/>
      <c r="C29" s="16" t="s">
        <v>36</v>
      </c>
      <c r="D29" s="14"/>
      <c r="E29" s="14" t="str">
        <f>VLOOKUP(C29, Datos!$B$8:$E$26, 3, FALSE)</f>
        <v>NA</v>
      </c>
      <c r="F29" s="17">
        <f>VLOOKUP(C29, Datos!$B$8:$E$26, 4, FALSE)</f>
        <v>50000</v>
      </c>
      <c r="G29" s="18"/>
      <c r="H29" s="3"/>
      <c r="I29" s="3"/>
      <c r="J29" s="3"/>
      <c r="K29" s="3"/>
      <c r="L29" s="3"/>
      <c r="M29" s="3"/>
      <c r="N29" s="3"/>
      <c r="O29" s="3"/>
      <c r="P29" s="3"/>
      <c r="Q29" s="3"/>
      <c r="R29" s="3"/>
      <c r="S29" s="3"/>
      <c r="T29" s="3"/>
      <c r="U29" s="3"/>
      <c r="V29" s="3"/>
      <c r="W29" s="3"/>
      <c r="X29" s="3"/>
      <c r="Y29" s="3"/>
      <c r="Z29" s="3"/>
    </row>
    <row r="30" ht="14.25" customHeight="1">
      <c r="A30" s="3"/>
      <c r="B30" s="3"/>
      <c r="C30" s="1" t="s">
        <v>37</v>
      </c>
      <c r="D30" s="3"/>
      <c r="E30" s="14" t="str">
        <f>VLOOKUP(C30, Datos!$B$8:$E$26, 3, FALSE)</f>
        <v>NA</v>
      </c>
      <c r="F30" s="17">
        <f>VLOOKUP(C30, Datos!$B$8:$E$26, 4, FALSE)</f>
        <v>80000</v>
      </c>
      <c r="G30" s="3"/>
      <c r="H30" s="3"/>
      <c r="I30" s="3"/>
      <c r="J30" s="3"/>
      <c r="K30" s="3"/>
      <c r="L30" s="3"/>
      <c r="M30" s="3"/>
      <c r="N30" s="3"/>
      <c r="O30" s="3"/>
      <c r="P30" s="3"/>
      <c r="Q30" s="3"/>
      <c r="R30" s="3"/>
      <c r="S30" s="3"/>
      <c r="T30" s="3"/>
      <c r="U30" s="3"/>
      <c r="V30" s="3"/>
      <c r="W30" s="3"/>
      <c r="X30" s="3"/>
      <c r="Y30" s="3"/>
      <c r="Z30" s="3"/>
    </row>
    <row r="31" ht="14.25" customHeight="1">
      <c r="A31" s="3"/>
      <c r="B31" s="3"/>
      <c r="C31" s="16" t="s">
        <v>38</v>
      </c>
      <c r="D31" s="3"/>
      <c r="E31" s="14" t="str">
        <f>VLOOKUP(C31, Datos!$B$8:$E$26, 3, FALSE)</f>
        <v>NA</v>
      </c>
      <c r="F31" s="17">
        <f>VLOOKUP(C31, Datos!$B$8:$E$26, 4, FALSE)</f>
        <v>50000</v>
      </c>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14"/>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4.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7480314960629921" footer="0.0" header="0.0" left="0.7086614173228347" right="0.7086614173228347" top="0.7480314960629921"/>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7.86"/>
    <col customWidth="1" min="3" max="3" width="16.43"/>
    <col customWidth="1" min="4" max="4" width="43.29"/>
    <col customWidth="1" min="5" max="5" width="18.86"/>
    <col customWidth="1" min="6" max="6" width="18.0"/>
    <col customWidth="1" min="7" max="7" width="29.43"/>
    <col customWidth="1" min="8" max="9" width="15.43"/>
    <col customWidth="1" min="10" max="26" width="11.43"/>
  </cols>
  <sheetData>
    <row r="1" ht="14.25" customHeight="1">
      <c r="A1" s="3"/>
      <c r="B1" s="2" t="s">
        <v>1</v>
      </c>
      <c r="C1" s="3"/>
      <c r="D1" s="3" t="str">
        <f>#REF!*#REF!</f>
        <v>#REF!</v>
      </c>
      <c r="E1" s="3"/>
      <c r="F1" s="3"/>
      <c r="G1" s="4" t="s">
        <v>2</v>
      </c>
      <c r="H1" s="3"/>
      <c r="I1" s="3"/>
      <c r="J1" s="3"/>
      <c r="K1" s="3"/>
      <c r="L1" s="3"/>
      <c r="M1" s="3"/>
      <c r="N1" s="3"/>
      <c r="O1" s="3"/>
      <c r="P1" s="3"/>
      <c r="Q1" s="3"/>
      <c r="R1" s="3"/>
      <c r="S1" s="3"/>
      <c r="T1" s="3"/>
      <c r="U1" s="3"/>
      <c r="V1" s="3"/>
      <c r="W1" s="3"/>
      <c r="X1" s="3"/>
      <c r="Y1" s="3"/>
      <c r="Z1" s="3"/>
    </row>
    <row r="2" ht="14.25" customHeight="1">
      <c r="A2" s="3"/>
      <c r="B2" s="5" t="s">
        <v>3</v>
      </c>
      <c r="C2" s="3"/>
      <c r="D2" s="3"/>
      <c r="E2" s="3"/>
      <c r="F2" s="3"/>
      <c r="G2" s="3" t="s">
        <v>4</v>
      </c>
      <c r="H2" s="3"/>
      <c r="I2" s="6">
        <v>0.3</v>
      </c>
      <c r="J2" s="3"/>
      <c r="K2" s="3"/>
      <c r="L2" s="3"/>
      <c r="M2" s="3"/>
      <c r="N2" s="3"/>
      <c r="O2" s="3"/>
      <c r="P2" s="3"/>
      <c r="Q2" s="3"/>
      <c r="R2" s="3"/>
      <c r="S2" s="3"/>
      <c r="T2" s="3"/>
      <c r="U2" s="3"/>
      <c r="V2" s="3"/>
      <c r="W2" s="3"/>
      <c r="X2" s="3"/>
      <c r="Y2" s="3"/>
      <c r="Z2" s="3"/>
    </row>
    <row r="3" ht="15.75" customHeight="1">
      <c r="A3" s="3"/>
      <c r="B3" s="7" t="s">
        <v>5</v>
      </c>
      <c r="C3" s="3"/>
      <c r="D3" s="3"/>
      <c r="E3" s="8"/>
      <c r="F3" s="8"/>
      <c r="G3" s="9" t="s">
        <v>6</v>
      </c>
      <c r="H3" s="9" t="s">
        <v>7</v>
      </c>
      <c r="I3" s="9" t="s">
        <v>8</v>
      </c>
      <c r="J3" s="3"/>
      <c r="K3" s="3"/>
      <c r="L3" s="3"/>
      <c r="M3" s="3"/>
      <c r="N3" s="3"/>
      <c r="O3" s="3"/>
      <c r="P3" s="3"/>
      <c r="Q3" s="3"/>
      <c r="R3" s="3"/>
      <c r="S3" s="3"/>
      <c r="T3" s="3"/>
      <c r="U3" s="3"/>
      <c r="V3" s="3"/>
      <c r="W3" s="3"/>
      <c r="X3" s="3"/>
      <c r="Y3" s="3"/>
      <c r="Z3" s="3"/>
    </row>
    <row r="4" ht="15.0" customHeight="1">
      <c r="A4" s="3"/>
      <c r="B4" s="7" t="s">
        <v>9</v>
      </c>
      <c r="C4" s="3"/>
      <c r="D4" s="3"/>
      <c r="E4" s="10" t="s">
        <v>8</v>
      </c>
      <c r="F4" s="10"/>
      <c r="G4" s="11">
        <f>I7+I14+I20+I24+I26</f>
        <v>46200300</v>
      </c>
      <c r="H4" s="11">
        <f>G4*I2</f>
        <v>13860090</v>
      </c>
      <c r="I4" s="11">
        <f>SUM(G4:H4)</f>
        <v>60060390</v>
      </c>
      <c r="J4" s="3"/>
      <c r="K4" s="3"/>
      <c r="L4" s="3"/>
      <c r="M4" s="3"/>
      <c r="N4" s="3"/>
      <c r="O4" s="3"/>
      <c r="P4" s="3"/>
      <c r="Q4" s="3"/>
      <c r="R4" s="3"/>
      <c r="S4" s="3"/>
      <c r="T4" s="3"/>
      <c r="U4" s="3"/>
      <c r="V4" s="3"/>
      <c r="W4" s="3"/>
      <c r="X4" s="3"/>
      <c r="Y4" s="3"/>
      <c r="Z4" s="3"/>
    </row>
    <row r="5" ht="14.25" customHeight="1">
      <c r="A5" s="3"/>
      <c r="B5" s="3"/>
      <c r="C5" s="3"/>
      <c r="D5" s="3"/>
      <c r="E5" s="3"/>
      <c r="F5" s="3"/>
      <c r="G5" s="3"/>
      <c r="H5" s="3"/>
      <c r="I5" s="3"/>
      <c r="J5" s="3"/>
      <c r="K5" s="3"/>
      <c r="L5" s="3"/>
      <c r="M5" s="3"/>
      <c r="N5" s="3"/>
      <c r="O5" s="3"/>
      <c r="P5" s="3"/>
      <c r="Q5" s="3"/>
      <c r="R5" s="3"/>
      <c r="S5" s="3"/>
      <c r="T5" s="3"/>
      <c r="U5" s="3"/>
      <c r="V5" s="3"/>
      <c r="W5" s="3"/>
      <c r="X5" s="3"/>
      <c r="Y5" s="3"/>
      <c r="Z5" s="3"/>
    </row>
    <row r="6" ht="14.25" customHeight="1">
      <c r="A6" s="3"/>
      <c r="B6" s="25" t="s">
        <v>39</v>
      </c>
      <c r="C6" s="9" t="s">
        <v>40</v>
      </c>
      <c r="D6" s="9" t="s">
        <v>41</v>
      </c>
      <c r="E6" s="9" t="s">
        <v>42</v>
      </c>
      <c r="F6" s="9" t="s">
        <v>12</v>
      </c>
      <c r="G6" s="9" t="s">
        <v>43</v>
      </c>
      <c r="H6" s="9" t="s">
        <v>13</v>
      </c>
      <c r="I6" s="9" t="s">
        <v>6</v>
      </c>
      <c r="J6" s="3"/>
      <c r="K6" s="3"/>
      <c r="L6" s="3"/>
      <c r="M6" s="3"/>
      <c r="N6" s="3"/>
      <c r="O6" s="3"/>
      <c r="P6" s="3"/>
      <c r="Q6" s="3"/>
      <c r="R6" s="3"/>
      <c r="S6" s="3"/>
      <c r="T6" s="3"/>
      <c r="U6" s="3"/>
      <c r="V6" s="3"/>
      <c r="W6" s="3"/>
      <c r="X6" s="3"/>
      <c r="Y6" s="3"/>
      <c r="Z6" s="3"/>
    </row>
    <row r="7" ht="15.0" customHeight="1">
      <c r="A7" s="3"/>
      <c r="B7" s="12">
        <v>1.0</v>
      </c>
      <c r="C7" s="26" t="s">
        <v>44</v>
      </c>
      <c r="D7" s="27"/>
      <c r="E7" s="27"/>
      <c r="F7" s="27"/>
      <c r="G7" s="28"/>
      <c r="H7" s="27"/>
      <c r="I7" s="29">
        <f>SUM(I8:I13)</f>
        <v>9300000</v>
      </c>
      <c r="J7" s="3"/>
      <c r="K7" s="3"/>
      <c r="L7" s="3"/>
      <c r="M7" s="3"/>
      <c r="N7" s="3"/>
      <c r="O7" s="3"/>
      <c r="P7" s="3"/>
      <c r="Q7" s="3"/>
      <c r="R7" s="3"/>
      <c r="S7" s="3"/>
      <c r="T7" s="3"/>
      <c r="U7" s="3"/>
      <c r="V7" s="3"/>
      <c r="W7" s="3"/>
      <c r="X7" s="3"/>
      <c r="Y7" s="3"/>
      <c r="Z7" s="3"/>
    </row>
    <row r="8" ht="14.25" customHeight="1">
      <c r="A8" s="3"/>
      <c r="B8" s="14"/>
      <c r="C8" s="14"/>
      <c r="D8" s="16" t="s">
        <v>16</v>
      </c>
      <c r="E8" s="15" t="str">
        <f>VLOOKUP(D8,Datos!$B$8:$E$26,2,)</f>
        <v>Labor (Personal)</v>
      </c>
      <c r="F8" s="15" t="str">
        <f>VLOOKUP(D8,Datos!$B$8:$E$26,3,)</f>
        <v>Horas / Jornadas</v>
      </c>
      <c r="G8" s="30">
        <v>40.0</v>
      </c>
      <c r="H8" s="31">
        <f>VLOOKUP(D8,Datos!$B$8:$E$26,4,)</f>
        <v>90000</v>
      </c>
      <c r="I8" s="32">
        <f>H8*VALUE(SUBSTITUTE(SUBSTITUTE(G8,"$",""),".",""))
</f>
        <v>3600000</v>
      </c>
      <c r="J8" s="3"/>
      <c r="K8" s="3"/>
      <c r="L8" s="3"/>
      <c r="M8" s="3"/>
      <c r="N8" s="3"/>
      <c r="O8" s="3"/>
      <c r="P8" s="3"/>
      <c r="Q8" s="3"/>
      <c r="R8" s="3"/>
      <c r="S8" s="3"/>
      <c r="T8" s="3"/>
      <c r="U8" s="3"/>
      <c r="V8" s="3"/>
      <c r="W8" s="3"/>
      <c r="X8" s="3"/>
      <c r="Y8" s="3"/>
      <c r="Z8" s="3"/>
    </row>
    <row r="9" ht="14.25" customHeight="1">
      <c r="A9" s="3"/>
      <c r="B9" s="14"/>
      <c r="C9" s="14"/>
      <c r="D9" s="16" t="s">
        <v>23</v>
      </c>
      <c r="E9" s="15" t="str">
        <f>VLOOKUP(D9,Datos!$B$8:$E$26,2,)</f>
        <v>Consultor</v>
      </c>
      <c r="F9" s="15" t="str">
        <f>VLOOKUP(D9,Datos!$B$8:$E$26,3,)</f>
        <v>Horas / Jornadas</v>
      </c>
      <c r="G9" s="30">
        <v>10.0</v>
      </c>
      <c r="H9" s="31">
        <f>VLOOKUP(D9,Datos!$B$8:$E$26,4,)</f>
        <v>120000</v>
      </c>
      <c r="I9" s="17">
        <f t="shared" ref="I9:I13" si="1">G8*H9</f>
        <v>4800000</v>
      </c>
      <c r="J9" s="3"/>
      <c r="K9" s="3"/>
      <c r="L9" s="3"/>
      <c r="M9" s="3"/>
      <c r="N9" s="3"/>
      <c r="O9" s="3"/>
      <c r="P9" s="3"/>
      <c r="Q9" s="3"/>
      <c r="R9" s="3"/>
      <c r="S9" s="3"/>
      <c r="T9" s="3"/>
      <c r="U9" s="3"/>
      <c r="V9" s="3"/>
      <c r="W9" s="3"/>
      <c r="X9" s="3"/>
      <c r="Y9" s="3"/>
      <c r="Z9" s="3"/>
    </row>
    <row r="10" ht="14.25" customHeight="1">
      <c r="A10" s="3"/>
      <c r="B10" s="14"/>
      <c r="C10" s="14"/>
      <c r="D10" s="16" t="s">
        <v>35</v>
      </c>
      <c r="E10" s="15" t="str">
        <f>VLOOKUP(D10,Datos!$B$8:$E$26,2,)</f>
        <v>Gastos indirectos</v>
      </c>
      <c r="F10" s="15" t="str">
        <f>VLOOKUP(D10,Datos!$B$8:$E$26,3,)</f>
        <v>NA</v>
      </c>
      <c r="G10" s="30">
        <v>1.0</v>
      </c>
      <c r="H10" s="31">
        <f>VLOOKUP(D10,Datos!$B$8:$E$26,4,)</f>
        <v>60000</v>
      </c>
      <c r="I10" s="17">
        <f t="shared" si="1"/>
        <v>600000</v>
      </c>
      <c r="J10" s="3"/>
      <c r="K10" s="3"/>
      <c r="L10" s="3"/>
      <c r="M10" s="3"/>
      <c r="N10" s="3"/>
      <c r="O10" s="3"/>
      <c r="P10" s="3"/>
      <c r="Q10" s="3"/>
      <c r="R10" s="3"/>
      <c r="S10" s="3"/>
      <c r="T10" s="3"/>
      <c r="U10" s="3"/>
      <c r="V10" s="3"/>
      <c r="W10" s="3"/>
      <c r="X10" s="3"/>
      <c r="Y10" s="3"/>
      <c r="Z10" s="3"/>
    </row>
    <row r="11" ht="14.25" customHeight="1">
      <c r="A11" s="3"/>
      <c r="B11" s="14"/>
      <c r="C11" s="14"/>
      <c r="D11" s="16" t="s">
        <v>33</v>
      </c>
      <c r="E11" s="15" t="str">
        <f>VLOOKUP(D11,Datos!$B$8:$E$26,2,)</f>
        <v>Gastos por viajes</v>
      </c>
      <c r="F11" s="15" t="str">
        <f>VLOOKUP(D11,Datos!$B$8:$E$26,3,)</f>
        <v>NA</v>
      </c>
      <c r="G11" s="30">
        <v>2.0</v>
      </c>
      <c r="H11" s="31">
        <f>VLOOKUP(D11,Datos!$B$8:$E$26,4,)</f>
        <v>40000</v>
      </c>
      <c r="I11" s="17">
        <f t="shared" si="1"/>
        <v>40000</v>
      </c>
      <c r="J11" s="3"/>
      <c r="K11" s="3"/>
      <c r="L11" s="3"/>
      <c r="M11" s="3"/>
      <c r="N11" s="3"/>
      <c r="O11" s="3"/>
      <c r="P11" s="3"/>
      <c r="Q11" s="3"/>
      <c r="R11" s="3"/>
      <c r="S11" s="3"/>
      <c r="T11" s="3"/>
      <c r="U11" s="3"/>
      <c r="V11" s="3"/>
      <c r="W11" s="3"/>
      <c r="X11" s="3"/>
      <c r="Y11" s="3"/>
      <c r="Z11" s="3"/>
    </row>
    <row r="12" ht="14.25" customHeight="1">
      <c r="A12" s="3"/>
      <c r="B12" s="14"/>
      <c r="C12" s="14"/>
      <c r="D12" s="16" t="s">
        <v>37</v>
      </c>
      <c r="E12" s="15" t="str">
        <f>VLOOKUP(D12,Datos!$B$8:$E$26,2,)</f>
        <v>Gastos indirectos</v>
      </c>
      <c r="F12" s="15" t="str">
        <f>VLOOKUP(D12,Datos!$B$8:$E$26,3,)</f>
        <v>NA</v>
      </c>
      <c r="G12" s="30">
        <v>5.0</v>
      </c>
      <c r="H12" s="31">
        <f>VLOOKUP(D12,Datos!$B$8:$E$26,4,)</f>
        <v>80000</v>
      </c>
      <c r="I12" s="17">
        <f t="shared" si="1"/>
        <v>160000</v>
      </c>
      <c r="J12" s="3"/>
      <c r="K12" s="3"/>
      <c r="L12" s="3"/>
      <c r="M12" s="3"/>
      <c r="N12" s="3"/>
      <c r="O12" s="3"/>
      <c r="P12" s="3"/>
      <c r="Q12" s="3"/>
      <c r="R12" s="3"/>
      <c r="S12" s="3"/>
      <c r="T12" s="3"/>
      <c r="U12" s="3"/>
      <c r="V12" s="3"/>
      <c r="W12" s="3"/>
      <c r="X12" s="3"/>
      <c r="Y12" s="3"/>
      <c r="Z12" s="3"/>
    </row>
    <row r="13" ht="14.25" customHeight="1">
      <c r="A13" s="3"/>
      <c r="B13" s="14"/>
      <c r="C13" s="14"/>
      <c r="D13" s="16" t="s">
        <v>26</v>
      </c>
      <c r="E13" s="15" t="str">
        <f>VLOOKUP(D13,Datos!$B$8:$E$26,2,)</f>
        <v>Materiales</v>
      </c>
      <c r="F13" s="15" t="str">
        <f>VLOOKUP(D13,Datos!$B$8:$E$26,3,)</f>
        <v>Cantidad</v>
      </c>
      <c r="G13" s="30">
        <v>5.0</v>
      </c>
      <c r="H13" s="31">
        <f>VLOOKUP(D13,Datos!$B$8:$E$26,4,)</f>
        <v>20000</v>
      </c>
      <c r="I13" s="17">
        <f t="shared" si="1"/>
        <v>100000</v>
      </c>
      <c r="J13" s="3"/>
      <c r="K13" s="3"/>
      <c r="L13" s="3"/>
      <c r="M13" s="3"/>
      <c r="N13" s="3"/>
      <c r="O13" s="3"/>
      <c r="P13" s="3"/>
      <c r="Q13" s="3"/>
      <c r="R13" s="3"/>
      <c r="S13" s="3"/>
      <c r="T13" s="3"/>
      <c r="U13" s="3"/>
      <c r="V13" s="3"/>
      <c r="W13" s="3"/>
      <c r="X13" s="3"/>
      <c r="Y13" s="3"/>
      <c r="Z13" s="3"/>
    </row>
    <row r="14" ht="15.0" customHeight="1">
      <c r="A14" s="3"/>
      <c r="B14" s="12">
        <v>2.0</v>
      </c>
      <c r="C14" s="26" t="s">
        <v>45</v>
      </c>
      <c r="D14" s="27"/>
      <c r="E14" s="27"/>
      <c r="F14" s="27"/>
      <c r="G14" s="28"/>
      <c r="H14" s="33"/>
      <c r="I14" s="29">
        <f>SUM(I15:I19)</f>
        <v>31700000</v>
      </c>
      <c r="J14" s="3"/>
      <c r="K14" s="3"/>
      <c r="L14" s="3"/>
      <c r="M14" s="3"/>
      <c r="N14" s="3"/>
      <c r="O14" s="3"/>
      <c r="P14" s="3"/>
      <c r="Q14" s="3"/>
      <c r="R14" s="3"/>
      <c r="S14" s="3"/>
      <c r="T14" s="3"/>
      <c r="U14" s="3"/>
      <c r="V14" s="3"/>
      <c r="W14" s="3"/>
      <c r="X14" s="3"/>
      <c r="Y14" s="3"/>
      <c r="Z14" s="3"/>
    </row>
    <row r="15" ht="14.25" customHeight="1">
      <c r="A15" s="3"/>
      <c r="B15" s="14"/>
      <c r="C15" s="14"/>
      <c r="D15" s="34" t="s">
        <v>17</v>
      </c>
      <c r="E15" s="15" t="str">
        <f>VLOOKUP(D15,Datos!$B$8:$E$26,2,)</f>
        <v>Labor (Personal)</v>
      </c>
      <c r="F15" s="15" t="str">
        <f>VLOOKUP(D15,Datos!$B$8:$E$26,3,)</f>
        <v>Horas / Jornadas</v>
      </c>
      <c r="G15" s="30">
        <v>200.0</v>
      </c>
      <c r="H15" s="31">
        <f>VLOOKUP(D15,Datos!$B$8:$E$26,4,)</f>
        <v>60000</v>
      </c>
      <c r="I15" s="17">
        <f t="shared" ref="I15:I19" si="2">G15*H15</f>
        <v>12000000</v>
      </c>
      <c r="J15" s="3"/>
      <c r="K15" s="3"/>
      <c r="L15" s="3"/>
      <c r="M15" s="3"/>
      <c r="N15" s="3"/>
      <c r="O15" s="3"/>
      <c r="P15" s="3"/>
      <c r="Q15" s="3"/>
      <c r="R15" s="3"/>
      <c r="S15" s="3"/>
      <c r="T15" s="3"/>
      <c r="U15" s="3"/>
      <c r="V15" s="3"/>
      <c r="W15" s="3"/>
      <c r="X15" s="3"/>
      <c r="Y15" s="3"/>
      <c r="Z15" s="3"/>
    </row>
    <row r="16" ht="14.25" customHeight="1">
      <c r="A16" s="3"/>
      <c r="B16" s="14"/>
      <c r="C16" s="14"/>
      <c r="D16" s="34" t="s">
        <v>18</v>
      </c>
      <c r="E16" s="15" t="str">
        <f>VLOOKUP(D16,Datos!$B$8:$E$26,2,)</f>
        <v>Labor (Personal)</v>
      </c>
      <c r="F16" s="15" t="str">
        <f>VLOOKUP(D16,Datos!$B$8:$E$26,3,)</f>
        <v>Horas / Jornadas</v>
      </c>
      <c r="G16" s="30">
        <v>180.0</v>
      </c>
      <c r="H16" s="31">
        <f>VLOOKUP(D16,Datos!$B$8:$E$26,4,)</f>
        <v>60000</v>
      </c>
      <c r="I16" s="17">
        <f t="shared" si="2"/>
        <v>10800000</v>
      </c>
      <c r="J16" s="3"/>
      <c r="K16" s="3"/>
      <c r="L16" s="3"/>
      <c r="M16" s="3"/>
      <c r="N16" s="3"/>
      <c r="O16" s="3"/>
      <c r="P16" s="3"/>
      <c r="Q16" s="3"/>
      <c r="R16" s="3"/>
      <c r="S16" s="3"/>
      <c r="T16" s="3"/>
      <c r="U16" s="3"/>
      <c r="V16" s="3"/>
      <c r="W16" s="3"/>
      <c r="X16" s="3"/>
      <c r="Y16" s="3"/>
      <c r="Z16" s="3"/>
    </row>
    <row r="17" ht="14.25" customHeight="1">
      <c r="A17" s="3"/>
      <c r="B17" s="14"/>
      <c r="C17" s="14"/>
      <c r="D17" s="34" t="s">
        <v>19</v>
      </c>
      <c r="E17" s="15" t="str">
        <f>VLOOKUP(D17,Datos!$B$8:$E$26,2,)</f>
        <v>Labor (Personal)</v>
      </c>
      <c r="F17" s="15" t="str">
        <f>VLOOKUP(D17,Datos!$B$8:$E$26,3,)</f>
        <v>Horas / Jornadas</v>
      </c>
      <c r="G17" s="30">
        <v>100.0</v>
      </c>
      <c r="H17" s="31">
        <f>VLOOKUP(D17,Datos!$B$8:$E$26,4,)</f>
        <v>50000</v>
      </c>
      <c r="I17" s="17">
        <f t="shared" si="2"/>
        <v>5000000</v>
      </c>
      <c r="J17" s="3"/>
      <c r="K17" s="3"/>
      <c r="L17" s="3"/>
      <c r="M17" s="3"/>
      <c r="N17" s="3"/>
      <c r="O17" s="3"/>
      <c r="P17" s="3"/>
      <c r="Q17" s="3"/>
      <c r="R17" s="3"/>
      <c r="S17" s="3"/>
      <c r="T17" s="3"/>
      <c r="U17" s="3"/>
      <c r="V17" s="3"/>
      <c r="W17" s="3"/>
      <c r="X17" s="3"/>
      <c r="Y17" s="3"/>
      <c r="Z17" s="3"/>
    </row>
    <row r="18" ht="14.25" customHeight="1">
      <c r="A18" s="3"/>
      <c r="B18" s="14"/>
      <c r="C18" s="14"/>
      <c r="D18" s="34" t="s">
        <v>20</v>
      </c>
      <c r="E18" s="15" t="str">
        <f>VLOOKUP(D18,Datos!$B$8:$E$26,2,)</f>
        <v>Labor (Personal)</v>
      </c>
      <c r="F18" s="15" t="str">
        <f>VLOOKUP(D18,Datos!$B$8:$E$26,3,)</f>
        <v>Horas / Jornadas</v>
      </c>
      <c r="G18" s="30">
        <v>80.0</v>
      </c>
      <c r="H18" s="31">
        <f>VLOOKUP(D18,Datos!$B$8:$E$26,4,)</f>
        <v>45000</v>
      </c>
      <c r="I18" s="17">
        <f t="shared" si="2"/>
        <v>3600000</v>
      </c>
      <c r="J18" s="3"/>
      <c r="K18" s="3"/>
      <c r="L18" s="3"/>
      <c r="M18" s="3"/>
      <c r="N18" s="3"/>
      <c r="O18" s="3"/>
      <c r="P18" s="3"/>
      <c r="Q18" s="3"/>
      <c r="R18" s="3"/>
      <c r="S18" s="3"/>
      <c r="T18" s="3"/>
      <c r="U18" s="3"/>
      <c r="V18" s="3"/>
      <c r="W18" s="3"/>
      <c r="X18" s="3"/>
      <c r="Y18" s="3"/>
      <c r="Z18" s="3"/>
    </row>
    <row r="19" ht="14.25" customHeight="1">
      <c r="A19" s="3"/>
      <c r="B19" s="14"/>
      <c r="C19" s="14"/>
      <c r="D19" s="34" t="s">
        <v>38</v>
      </c>
      <c r="E19" s="15" t="str">
        <f>VLOOKUP(D19,Datos!$B$8:$E$26,2,)</f>
        <v>Gastos indirectos</v>
      </c>
      <c r="F19" s="15" t="str">
        <f>VLOOKUP(D19,Datos!$B$8:$E$26,3,)</f>
        <v>NA</v>
      </c>
      <c r="G19" s="30">
        <v>6.0</v>
      </c>
      <c r="H19" s="31">
        <f>VLOOKUP(D19,Datos!$B$8:$E$26,4,)</f>
        <v>50000</v>
      </c>
      <c r="I19" s="17">
        <f t="shared" si="2"/>
        <v>300000</v>
      </c>
      <c r="J19" s="3"/>
      <c r="K19" s="3"/>
      <c r="L19" s="3"/>
      <c r="M19" s="3"/>
      <c r="N19" s="3"/>
      <c r="O19" s="3"/>
      <c r="P19" s="3"/>
      <c r="Q19" s="3"/>
      <c r="R19" s="3"/>
      <c r="S19" s="3"/>
      <c r="T19" s="3"/>
      <c r="U19" s="3"/>
      <c r="V19" s="3"/>
      <c r="W19" s="3"/>
      <c r="X19" s="3"/>
      <c r="Y19" s="3"/>
      <c r="Z19" s="3"/>
    </row>
    <row r="20" ht="14.25" customHeight="1">
      <c r="A20" s="3"/>
      <c r="B20" s="26">
        <v>3.0</v>
      </c>
      <c r="C20" s="26" t="s">
        <v>46</v>
      </c>
      <c r="D20" s="35"/>
      <c r="E20" s="27"/>
      <c r="F20" s="27"/>
      <c r="G20" s="33"/>
      <c r="H20" s="33"/>
      <c r="I20" s="29">
        <f>SUM(I21:I23)</f>
        <v>3700300</v>
      </c>
      <c r="J20" s="3"/>
      <c r="K20" s="3"/>
      <c r="L20" s="3"/>
      <c r="M20" s="3"/>
      <c r="N20" s="3"/>
      <c r="O20" s="3"/>
      <c r="P20" s="3"/>
      <c r="Q20" s="3"/>
      <c r="R20" s="3"/>
      <c r="S20" s="3"/>
      <c r="T20" s="3"/>
      <c r="U20" s="3"/>
      <c r="V20" s="3"/>
      <c r="W20" s="3"/>
      <c r="X20" s="3"/>
      <c r="Y20" s="3"/>
      <c r="Z20" s="3"/>
    </row>
    <row r="21" ht="14.25" customHeight="1">
      <c r="A21" s="3"/>
      <c r="B21" s="14"/>
      <c r="C21" s="14"/>
      <c r="D21" s="34" t="s">
        <v>25</v>
      </c>
      <c r="E21" s="15" t="str">
        <f>VLOOKUP(D21,Datos!$B$8:$E$26,2,)</f>
        <v>Materiales</v>
      </c>
      <c r="F21" s="15" t="str">
        <f>VLOOKUP(D21,Datos!$B$8:$E$26,3,)</f>
        <v>Cantidad</v>
      </c>
      <c r="G21" s="30">
        <v>10.0</v>
      </c>
      <c r="H21" s="31">
        <f>VLOOKUP(D21,Datos!$B$8:$E$26,4,)</f>
        <v>120000</v>
      </c>
      <c r="I21" s="17">
        <f t="shared" ref="I21:I23" si="3">G21*H21</f>
        <v>1200000</v>
      </c>
      <c r="J21" s="3"/>
      <c r="K21" s="3"/>
      <c r="L21" s="3"/>
      <c r="M21" s="3"/>
      <c r="N21" s="3"/>
      <c r="O21" s="3"/>
      <c r="P21" s="3"/>
      <c r="Q21" s="3"/>
      <c r="R21" s="3"/>
      <c r="S21" s="3"/>
      <c r="T21" s="3"/>
      <c r="U21" s="3"/>
      <c r="V21" s="3"/>
      <c r="W21" s="3"/>
      <c r="X21" s="3"/>
      <c r="Y21" s="3"/>
      <c r="Z21" s="3"/>
    </row>
    <row r="22" ht="14.25" customHeight="1">
      <c r="A22" s="3"/>
      <c r="B22" s="14"/>
      <c r="C22" s="14"/>
      <c r="D22" s="34" t="s">
        <v>47</v>
      </c>
      <c r="E22" s="15" t="str">
        <f>VLOOKUP(D22,Datos!$B$8:$E$26,2,)</f>
        <v>Licencias </v>
      </c>
      <c r="F22" s="15" t="str">
        <f>VLOOKUP(D22,Datos!$B$8:$E$26,3,)</f>
        <v>NA</v>
      </c>
      <c r="G22" s="30">
        <v>1.0</v>
      </c>
      <c r="H22" s="31">
        <f>VLOOKUP(D22,Datos!$B$8:$E$26,4,)</f>
        <v>300</v>
      </c>
      <c r="I22" s="17">
        <f t="shared" si="3"/>
        <v>300</v>
      </c>
      <c r="J22" s="3"/>
      <c r="K22" s="3"/>
      <c r="L22" s="3"/>
      <c r="M22" s="3"/>
      <c r="N22" s="3"/>
      <c r="O22" s="3"/>
      <c r="P22" s="3"/>
      <c r="Q22" s="3"/>
      <c r="R22" s="3"/>
      <c r="S22" s="3"/>
      <c r="T22" s="3"/>
      <c r="U22" s="3"/>
      <c r="V22" s="3"/>
      <c r="W22" s="3"/>
      <c r="X22" s="3"/>
      <c r="Y22" s="3"/>
      <c r="Z22" s="3"/>
    </row>
    <row r="23" ht="14.25" customHeight="1">
      <c r="A23" s="3"/>
      <c r="B23" s="14"/>
      <c r="C23" s="14"/>
      <c r="D23" s="34" t="s">
        <v>21</v>
      </c>
      <c r="E23" s="15" t="str">
        <f>VLOOKUP(D23,Datos!$B$8:$E$26,2,)</f>
        <v>Labor (Personal)</v>
      </c>
      <c r="F23" s="15" t="str">
        <f>VLOOKUP(D23,Datos!$B$8:$E$26,3,)</f>
        <v>Horas / Jornadas</v>
      </c>
      <c r="G23" s="30">
        <v>50.0</v>
      </c>
      <c r="H23" s="31">
        <f>VLOOKUP(D23,Datos!$B$8:$E$26,4,)</f>
        <v>50000</v>
      </c>
      <c r="I23" s="17">
        <f t="shared" si="3"/>
        <v>2500000</v>
      </c>
      <c r="J23" s="3"/>
      <c r="K23" s="3"/>
      <c r="L23" s="3"/>
      <c r="M23" s="3"/>
      <c r="N23" s="3"/>
      <c r="O23" s="3"/>
      <c r="P23" s="3"/>
      <c r="Q23" s="3"/>
      <c r="R23" s="3"/>
      <c r="S23" s="3"/>
      <c r="T23" s="3"/>
      <c r="U23" s="3"/>
      <c r="V23" s="3"/>
      <c r="W23" s="3"/>
      <c r="X23" s="3"/>
      <c r="Y23" s="3"/>
      <c r="Z23" s="3"/>
    </row>
    <row r="24" ht="14.25" customHeight="1">
      <c r="A24" s="3"/>
      <c r="B24" s="26">
        <v>4.0</v>
      </c>
      <c r="C24" s="26" t="s">
        <v>48</v>
      </c>
      <c r="D24" s="35"/>
      <c r="E24" s="27"/>
      <c r="F24" s="27"/>
      <c r="G24" s="33"/>
      <c r="H24" s="33"/>
      <c r="I24" s="29">
        <f>I25</f>
        <v>30000</v>
      </c>
      <c r="J24" s="3"/>
      <c r="K24" s="3"/>
      <c r="L24" s="3"/>
      <c r="M24" s="3"/>
      <c r="N24" s="3"/>
      <c r="O24" s="3"/>
      <c r="P24" s="3"/>
      <c r="Q24" s="3"/>
      <c r="R24" s="3"/>
      <c r="S24" s="3"/>
      <c r="T24" s="3"/>
      <c r="U24" s="3"/>
      <c r="V24" s="3"/>
      <c r="W24" s="3"/>
      <c r="X24" s="3"/>
      <c r="Y24" s="3"/>
      <c r="Z24" s="3"/>
    </row>
    <row r="25" ht="14.25" customHeight="1">
      <c r="A25" s="3"/>
      <c r="B25" s="3"/>
      <c r="C25" s="3"/>
      <c r="D25" s="19" t="s">
        <v>30</v>
      </c>
      <c r="E25" s="15" t="str">
        <f>VLOOKUP(D25,Datos!$B$8:$E$26,2,)</f>
        <v>Licencias </v>
      </c>
      <c r="F25" s="15" t="str">
        <f>VLOOKUP(D25,Datos!$B$8:$E$26,3,)</f>
        <v>NA</v>
      </c>
      <c r="G25" s="30">
        <v>1.0</v>
      </c>
      <c r="H25" s="31">
        <f>VLOOKUP(D25,Datos!$B$8:$E$26,4,)</f>
        <v>30000</v>
      </c>
      <c r="I25" s="17">
        <f>G25*H25</f>
        <v>30000</v>
      </c>
      <c r="J25" s="3"/>
      <c r="K25" s="3"/>
      <c r="L25" s="3"/>
      <c r="M25" s="3"/>
      <c r="N25" s="3"/>
      <c r="O25" s="3"/>
      <c r="P25" s="3"/>
      <c r="Q25" s="3"/>
      <c r="R25" s="3"/>
      <c r="S25" s="3"/>
      <c r="T25" s="3"/>
      <c r="U25" s="3"/>
      <c r="V25" s="3"/>
      <c r="W25" s="3"/>
      <c r="X25" s="3"/>
      <c r="Y25" s="3"/>
      <c r="Z25" s="3"/>
    </row>
    <row r="26" ht="14.25" customHeight="1">
      <c r="A26" s="3"/>
      <c r="B26" s="26">
        <v>5.0</v>
      </c>
      <c r="C26" s="26" t="s">
        <v>49</v>
      </c>
      <c r="D26" s="35"/>
      <c r="E26" s="27"/>
      <c r="F26" s="27"/>
      <c r="G26" s="33"/>
      <c r="H26" s="33"/>
      <c r="I26" s="29">
        <f>SUM(I27:I30)</f>
        <v>1470000</v>
      </c>
      <c r="J26" s="3"/>
      <c r="K26" s="3"/>
      <c r="L26" s="3"/>
      <c r="M26" s="3"/>
      <c r="N26" s="3"/>
      <c r="O26" s="3"/>
      <c r="P26" s="3"/>
      <c r="Q26" s="3"/>
      <c r="R26" s="3"/>
      <c r="S26" s="3"/>
      <c r="T26" s="3"/>
      <c r="U26" s="3"/>
      <c r="V26" s="3"/>
      <c r="W26" s="3"/>
      <c r="X26" s="3"/>
      <c r="Y26" s="3"/>
      <c r="Z26" s="3"/>
    </row>
    <row r="27" ht="14.25" customHeight="1">
      <c r="A27" s="3"/>
      <c r="B27" s="3"/>
      <c r="C27" s="3"/>
      <c r="D27" s="30" t="s">
        <v>35</v>
      </c>
      <c r="E27" s="15" t="str">
        <f>VLOOKUP(D27,Datos!$B$8:$E$26,2,)</f>
        <v>Gastos indirectos</v>
      </c>
      <c r="F27" s="15" t="str">
        <f>VLOOKUP(D27,Datos!$B$8:$E$26,3,)</f>
        <v>NA</v>
      </c>
      <c r="G27" s="30">
        <v>1.0</v>
      </c>
      <c r="H27" s="31">
        <f>VLOOKUP(D27,Datos!$B$8:$E$26,4,)</f>
        <v>60000</v>
      </c>
      <c r="I27" s="17">
        <f t="shared" ref="I27:I30" si="4">G27*H27</f>
        <v>60000</v>
      </c>
      <c r="J27" s="3"/>
      <c r="K27" s="3"/>
      <c r="L27" s="3"/>
      <c r="M27" s="3"/>
      <c r="N27" s="3"/>
      <c r="O27" s="3"/>
      <c r="P27" s="3"/>
      <c r="Q27" s="3"/>
      <c r="R27" s="3"/>
      <c r="S27" s="3"/>
      <c r="T27" s="3"/>
      <c r="U27" s="3"/>
      <c r="V27" s="3"/>
      <c r="W27" s="3"/>
      <c r="X27" s="3"/>
      <c r="Y27" s="3"/>
      <c r="Z27" s="3"/>
    </row>
    <row r="28" ht="14.25" customHeight="1">
      <c r="A28" s="3"/>
      <c r="B28" s="3"/>
      <c r="C28" s="3"/>
      <c r="D28" s="30" t="s">
        <v>26</v>
      </c>
      <c r="E28" s="15" t="str">
        <f>VLOOKUP(D28,Datos!$B$8:$E$26,2,)</f>
        <v>Materiales</v>
      </c>
      <c r="F28" s="15" t="str">
        <f>VLOOKUP(D28,Datos!$B$8:$E$26,3,)</f>
        <v>Cantidad</v>
      </c>
      <c r="G28" s="30">
        <v>20.0</v>
      </c>
      <c r="H28" s="31">
        <f>VLOOKUP(D28,Datos!$B$8:$E$26,4,)</f>
        <v>20000</v>
      </c>
      <c r="I28" s="17">
        <f t="shared" si="4"/>
        <v>400000</v>
      </c>
      <c r="J28" s="3"/>
      <c r="K28" s="3"/>
      <c r="L28" s="3"/>
      <c r="M28" s="3"/>
      <c r="N28" s="3"/>
      <c r="O28" s="3"/>
      <c r="P28" s="3"/>
      <c r="Q28" s="3"/>
      <c r="R28" s="3"/>
      <c r="S28" s="3"/>
      <c r="T28" s="3"/>
      <c r="U28" s="3"/>
      <c r="V28" s="3"/>
      <c r="W28" s="3"/>
      <c r="X28" s="3"/>
      <c r="Y28" s="3"/>
      <c r="Z28" s="3"/>
    </row>
    <row r="29" ht="14.25" customHeight="1">
      <c r="A29" s="3"/>
      <c r="B29" s="3"/>
      <c r="C29" s="3"/>
      <c r="D29" s="34" t="s">
        <v>27</v>
      </c>
      <c r="E29" s="15" t="str">
        <f>VLOOKUP(D29,Datos!$B$8:$E$26,2,)</f>
        <v>Materiales</v>
      </c>
      <c r="F29" s="15" t="str">
        <f>VLOOKUP(D29,Datos!$B$8:$E$26,3,)</f>
        <v>Cantidad</v>
      </c>
      <c r="G29" s="30">
        <v>5.0</v>
      </c>
      <c r="H29" s="31">
        <f>VLOOKUP(D29,Datos!$B$8:$E$26,4,)</f>
        <v>200000</v>
      </c>
      <c r="I29" s="17">
        <f t="shared" si="4"/>
        <v>1000000</v>
      </c>
      <c r="J29" s="3"/>
      <c r="K29" s="3"/>
      <c r="L29" s="3"/>
      <c r="M29" s="3"/>
      <c r="N29" s="3"/>
      <c r="O29" s="3"/>
      <c r="P29" s="3"/>
      <c r="Q29" s="3"/>
      <c r="R29" s="3"/>
      <c r="S29" s="3"/>
      <c r="T29" s="3"/>
      <c r="U29" s="3"/>
      <c r="V29" s="3"/>
      <c r="W29" s="3"/>
      <c r="X29" s="3"/>
      <c r="Y29" s="3"/>
      <c r="Z29" s="3"/>
    </row>
    <row r="30" ht="14.25" customHeight="1">
      <c r="A30" s="3"/>
      <c r="B30" s="3"/>
      <c r="C30" s="3"/>
      <c r="D30" s="34" t="s">
        <v>31</v>
      </c>
      <c r="E30" s="15" t="str">
        <f>VLOOKUP(D30,Datos!$B$8:$E$26,2,)</f>
        <v>Licencias / Servicios</v>
      </c>
      <c r="F30" s="15" t="str">
        <f>VLOOKUP(D30,Datos!$B$8:$E$26,3,)</f>
        <v>NA</v>
      </c>
      <c r="G30" s="30">
        <v>1.0</v>
      </c>
      <c r="H30" s="31">
        <f>VLOOKUP(D30,Datos!$B$8:$E$26,4,)</f>
        <v>10000</v>
      </c>
      <c r="I30" s="17">
        <f t="shared" si="4"/>
        <v>10000</v>
      </c>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sheetData>
  <printOptions/>
  <pageMargins bottom="0.7480314960629921" footer="0.0" header="0.0" left="0.2362204724409449" right="0.2362204724409449" top="0.7480314960629921"/>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52.0"/>
    <col customWidth="1" min="3" max="3" width="24.57"/>
    <col customWidth="1" min="4" max="4" width="25.14"/>
    <col customWidth="1" min="5" max="5" width="23.29"/>
    <col customWidth="1" min="6" max="6" width="5.43"/>
    <col customWidth="1" min="7" max="26" width="11.43"/>
  </cols>
  <sheetData>
    <row r="1" ht="14.25" customHeight="1">
      <c r="A1" s="3"/>
      <c r="B1" s="2" t="s">
        <v>1</v>
      </c>
      <c r="C1" s="3"/>
      <c r="D1" s="4" t="s">
        <v>2</v>
      </c>
      <c r="E1" s="3"/>
      <c r="F1" s="3"/>
      <c r="G1" s="3"/>
      <c r="H1" s="3"/>
      <c r="I1" s="3"/>
      <c r="J1" s="3"/>
      <c r="K1" s="3"/>
      <c r="L1" s="3"/>
      <c r="M1" s="3"/>
      <c r="N1" s="3"/>
      <c r="O1" s="3"/>
      <c r="P1" s="3"/>
      <c r="Q1" s="3"/>
      <c r="R1" s="3"/>
      <c r="S1" s="3"/>
      <c r="T1" s="3"/>
      <c r="U1" s="3"/>
      <c r="V1" s="3"/>
      <c r="W1" s="3"/>
      <c r="X1" s="3"/>
      <c r="Y1" s="3"/>
      <c r="Z1" s="3"/>
    </row>
    <row r="2" ht="14.25" customHeight="1">
      <c r="A2" s="3"/>
      <c r="B2" s="5" t="s">
        <v>3</v>
      </c>
      <c r="C2" s="3"/>
      <c r="D2" s="3"/>
      <c r="E2" s="3"/>
      <c r="F2" s="3"/>
      <c r="G2" s="3"/>
      <c r="H2" s="3"/>
      <c r="I2" s="3"/>
      <c r="J2" s="3"/>
      <c r="K2" s="3"/>
      <c r="L2" s="3"/>
      <c r="M2" s="3"/>
      <c r="N2" s="3"/>
      <c r="O2" s="3"/>
      <c r="P2" s="3"/>
      <c r="Q2" s="3"/>
      <c r="R2" s="3"/>
      <c r="S2" s="3"/>
      <c r="T2" s="3"/>
      <c r="U2" s="3"/>
      <c r="V2" s="3"/>
      <c r="W2" s="3"/>
      <c r="X2" s="3"/>
      <c r="Y2" s="3"/>
      <c r="Z2" s="3"/>
    </row>
    <row r="3" ht="14.25" customHeight="1">
      <c r="A3" s="3"/>
      <c r="B3" s="7" t="s">
        <v>5</v>
      </c>
      <c r="C3" s="3"/>
      <c r="D3" s="3"/>
      <c r="E3" s="8"/>
      <c r="F3" s="8"/>
      <c r="G3" s="3"/>
      <c r="H3" s="3"/>
      <c r="I3" s="3"/>
      <c r="J3" s="3"/>
      <c r="K3" s="3"/>
      <c r="L3" s="3"/>
      <c r="M3" s="3"/>
      <c r="N3" s="3"/>
      <c r="O3" s="3"/>
      <c r="P3" s="3"/>
      <c r="Q3" s="3"/>
      <c r="R3" s="3"/>
      <c r="S3" s="3"/>
      <c r="T3" s="3"/>
      <c r="U3" s="3"/>
      <c r="V3" s="3"/>
      <c r="W3" s="3"/>
      <c r="X3" s="3"/>
      <c r="Y3" s="3"/>
      <c r="Z3" s="3"/>
    </row>
    <row r="4" ht="14.25" customHeight="1">
      <c r="A4" s="3"/>
      <c r="B4" s="7" t="s">
        <v>9</v>
      </c>
      <c r="C4" s="3"/>
      <c r="D4" s="3"/>
      <c r="E4" s="8"/>
      <c r="F4" s="10"/>
      <c r="G4" s="3"/>
      <c r="H4" s="3"/>
      <c r="I4" s="3"/>
      <c r="J4" s="3"/>
      <c r="K4" s="3"/>
      <c r="L4" s="3"/>
      <c r="M4" s="3"/>
      <c r="N4" s="3"/>
      <c r="O4" s="3"/>
      <c r="P4" s="3"/>
      <c r="Q4" s="3"/>
      <c r="R4" s="3"/>
      <c r="S4" s="3"/>
      <c r="T4" s="3"/>
      <c r="U4" s="3"/>
      <c r="V4" s="3"/>
      <c r="W4" s="3"/>
      <c r="X4" s="3"/>
      <c r="Y4" s="3"/>
      <c r="Z4" s="3"/>
    </row>
    <row r="5" ht="14.25" customHeight="1">
      <c r="A5" s="3"/>
      <c r="B5" s="3"/>
      <c r="C5" s="3"/>
      <c r="D5" s="3"/>
      <c r="E5" s="3"/>
      <c r="F5" s="3"/>
      <c r="G5" s="3"/>
      <c r="H5" s="3"/>
      <c r="I5" s="3"/>
      <c r="J5" s="3"/>
      <c r="K5" s="3"/>
      <c r="L5" s="3"/>
      <c r="M5" s="3"/>
      <c r="N5" s="3"/>
      <c r="O5" s="3"/>
      <c r="P5" s="3"/>
      <c r="Q5" s="3"/>
      <c r="R5" s="3"/>
      <c r="S5" s="3"/>
      <c r="T5" s="3"/>
      <c r="U5" s="3"/>
      <c r="V5" s="3"/>
      <c r="W5" s="3"/>
      <c r="X5" s="3"/>
      <c r="Y5" s="3"/>
      <c r="Z5" s="3"/>
    </row>
    <row r="6" ht="14.25" customHeight="1">
      <c r="A6" s="3"/>
      <c r="B6" s="9" t="s">
        <v>41</v>
      </c>
      <c r="C6" s="9" t="s">
        <v>42</v>
      </c>
      <c r="D6" s="9" t="s">
        <v>12</v>
      </c>
      <c r="E6" s="9" t="s">
        <v>13</v>
      </c>
      <c r="F6" s="3"/>
      <c r="G6" s="3"/>
      <c r="H6" s="3"/>
      <c r="I6" s="3"/>
      <c r="J6" s="3"/>
      <c r="K6" s="3"/>
      <c r="L6" s="3"/>
      <c r="M6" s="3"/>
      <c r="N6" s="3"/>
      <c r="O6" s="3"/>
      <c r="P6" s="3"/>
      <c r="Q6" s="3"/>
      <c r="R6" s="3"/>
      <c r="S6" s="3"/>
      <c r="T6" s="3"/>
      <c r="U6" s="3"/>
      <c r="V6" s="3"/>
      <c r="W6" s="3"/>
      <c r="X6" s="3"/>
      <c r="Y6" s="3"/>
      <c r="Z6" s="3"/>
    </row>
    <row r="7" ht="14.25" customHeight="1">
      <c r="A7" s="3"/>
      <c r="B7" s="27"/>
      <c r="C7" s="27"/>
      <c r="D7" s="27"/>
      <c r="E7" s="27"/>
      <c r="F7" s="3"/>
      <c r="G7" s="3"/>
      <c r="H7" s="3"/>
      <c r="I7" s="3"/>
      <c r="J7" s="3"/>
      <c r="K7" s="3"/>
      <c r="L7" s="3"/>
      <c r="M7" s="3"/>
      <c r="N7" s="3"/>
      <c r="O7" s="3"/>
      <c r="P7" s="3"/>
      <c r="Q7" s="3"/>
      <c r="R7" s="3"/>
      <c r="S7" s="3"/>
      <c r="T7" s="3"/>
      <c r="U7" s="3"/>
      <c r="V7" s="3"/>
      <c r="W7" s="3"/>
      <c r="X7" s="3"/>
      <c r="Y7" s="3"/>
      <c r="Z7" s="3"/>
    </row>
    <row r="8" ht="14.25" customHeight="1">
      <c r="A8" s="3"/>
      <c r="B8" s="16" t="s">
        <v>16</v>
      </c>
      <c r="C8" s="16" t="s">
        <v>15</v>
      </c>
      <c r="D8" s="14" t="s">
        <v>50</v>
      </c>
      <c r="E8" s="36">
        <v>90000.0</v>
      </c>
      <c r="F8" s="3"/>
      <c r="G8" s="3"/>
      <c r="H8" s="3"/>
      <c r="I8" s="3"/>
      <c r="J8" s="3"/>
      <c r="K8" s="3"/>
      <c r="L8" s="3"/>
      <c r="M8" s="3"/>
      <c r="N8" s="3"/>
      <c r="O8" s="3"/>
      <c r="P8" s="3"/>
      <c r="Q8" s="3"/>
      <c r="R8" s="3"/>
      <c r="S8" s="3"/>
      <c r="T8" s="3"/>
      <c r="U8" s="3"/>
      <c r="V8" s="3"/>
      <c r="W8" s="3"/>
      <c r="X8" s="3"/>
      <c r="Y8" s="3"/>
      <c r="Z8" s="3"/>
    </row>
    <row r="9" ht="14.25" customHeight="1">
      <c r="A9" s="3"/>
      <c r="B9" s="16" t="s">
        <v>17</v>
      </c>
      <c r="C9" s="16" t="s">
        <v>15</v>
      </c>
      <c r="D9" s="16" t="s">
        <v>50</v>
      </c>
      <c r="E9" s="36">
        <v>60000.0</v>
      </c>
      <c r="F9" s="3"/>
      <c r="G9" s="3"/>
      <c r="H9" s="3"/>
      <c r="I9" s="3"/>
      <c r="J9" s="3"/>
      <c r="K9" s="3"/>
      <c r="L9" s="3"/>
      <c r="M9" s="3"/>
      <c r="N9" s="3"/>
      <c r="O9" s="3"/>
      <c r="P9" s="3"/>
      <c r="Q9" s="3"/>
      <c r="R9" s="3"/>
      <c r="S9" s="3"/>
      <c r="T9" s="3"/>
      <c r="U9" s="3"/>
      <c r="V9" s="3"/>
      <c r="W9" s="3"/>
      <c r="X9" s="3"/>
      <c r="Y9" s="3"/>
      <c r="Z9" s="3"/>
    </row>
    <row r="10" ht="14.25" customHeight="1">
      <c r="A10" s="3"/>
      <c r="B10" s="16" t="s">
        <v>18</v>
      </c>
      <c r="C10" s="16" t="s">
        <v>15</v>
      </c>
      <c r="D10" s="14" t="s">
        <v>50</v>
      </c>
      <c r="E10" s="36">
        <v>60000.0</v>
      </c>
      <c r="F10" s="3"/>
      <c r="G10" s="3"/>
      <c r="H10" s="3"/>
      <c r="I10" s="3"/>
      <c r="J10" s="3"/>
      <c r="K10" s="3"/>
      <c r="L10" s="3"/>
      <c r="M10" s="3"/>
      <c r="N10" s="3"/>
      <c r="O10" s="3"/>
      <c r="P10" s="3"/>
      <c r="Q10" s="3"/>
      <c r="R10" s="3"/>
      <c r="S10" s="3"/>
      <c r="T10" s="3"/>
      <c r="U10" s="3"/>
      <c r="V10" s="3"/>
      <c r="W10" s="3"/>
      <c r="X10" s="3"/>
      <c r="Y10" s="3"/>
      <c r="Z10" s="3"/>
    </row>
    <row r="11" ht="14.25" customHeight="1">
      <c r="A11" s="3"/>
      <c r="B11" s="16" t="s">
        <v>19</v>
      </c>
      <c r="C11" s="16" t="s">
        <v>15</v>
      </c>
      <c r="D11" s="16" t="s">
        <v>50</v>
      </c>
      <c r="E11" s="36">
        <v>50000.0</v>
      </c>
      <c r="F11" s="3"/>
      <c r="G11" s="3"/>
      <c r="H11" s="3"/>
      <c r="I11" s="3"/>
      <c r="J11" s="3"/>
      <c r="K11" s="3"/>
      <c r="L11" s="3"/>
      <c r="M11" s="3"/>
      <c r="N11" s="3"/>
      <c r="O11" s="3"/>
      <c r="P11" s="3"/>
      <c r="Q11" s="3"/>
      <c r="R11" s="3"/>
      <c r="S11" s="3"/>
      <c r="T11" s="3"/>
      <c r="U11" s="3"/>
      <c r="V11" s="3"/>
      <c r="W11" s="3"/>
      <c r="X11" s="3"/>
      <c r="Y11" s="3"/>
      <c r="Z11" s="3"/>
    </row>
    <row r="12" ht="14.25" customHeight="1">
      <c r="A12" s="3"/>
      <c r="B12" s="16" t="s">
        <v>20</v>
      </c>
      <c r="C12" s="16" t="s">
        <v>15</v>
      </c>
      <c r="D12" s="16" t="s">
        <v>50</v>
      </c>
      <c r="E12" s="36">
        <v>45000.0</v>
      </c>
      <c r="F12" s="3"/>
      <c r="G12" s="3"/>
      <c r="H12" s="3"/>
      <c r="I12" s="3"/>
      <c r="J12" s="3"/>
      <c r="K12" s="3"/>
      <c r="L12" s="3"/>
      <c r="M12" s="3"/>
      <c r="N12" s="3"/>
      <c r="O12" s="3"/>
      <c r="P12" s="3"/>
      <c r="Q12" s="3"/>
      <c r="R12" s="3"/>
      <c r="S12" s="3"/>
      <c r="T12" s="3"/>
      <c r="U12" s="3"/>
      <c r="V12" s="3"/>
      <c r="W12" s="3"/>
      <c r="X12" s="3"/>
      <c r="Y12" s="3"/>
      <c r="Z12" s="3"/>
    </row>
    <row r="13" ht="14.25" customHeight="1">
      <c r="A13" s="3"/>
      <c r="B13" s="16" t="s">
        <v>23</v>
      </c>
      <c r="C13" s="16" t="s">
        <v>51</v>
      </c>
      <c r="D13" s="16" t="s">
        <v>50</v>
      </c>
      <c r="E13" s="36">
        <v>120000.0</v>
      </c>
      <c r="F13" s="3"/>
      <c r="G13" s="3"/>
      <c r="H13" s="3"/>
      <c r="I13" s="3"/>
      <c r="J13" s="3"/>
      <c r="K13" s="3"/>
      <c r="L13" s="3"/>
      <c r="M13" s="3"/>
      <c r="N13" s="3"/>
      <c r="O13" s="3"/>
      <c r="P13" s="3"/>
      <c r="Q13" s="3"/>
      <c r="R13" s="3"/>
      <c r="S13" s="3"/>
      <c r="T13" s="3"/>
      <c r="U13" s="3"/>
      <c r="V13" s="3"/>
      <c r="W13" s="3"/>
      <c r="X13" s="3"/>
      <c r="Y13" s="3"/>
      <c r="Z13" s="3"/>
    </row>
    <row r="14" ht="14.25" customHeight="1">
      <c r="A14" s="3"/>
      <c r="B14" s="16" t="s">
        <v>25</v>
      </c>
      <c r="C14" s="16" t="s">
        <v>24</v>
      </c>
      <c r="D14" s="16" t="s">
        <v>52</v>
      </c>
      <c r="E14" s="36">
        <v>120000.0</v>
      </c>
      <c r="F14" s="3"/>
      <c r="G14" s="3"/>
      <c r="H14" s="3"/>
      <c r="I14" s="3"/>
      <c r="J14" s="3"/>
      <c r="K14" s="3"/>
      <c r="L14" s="3"/>
      <c r="M14" s="3"/>
      <c r="N14" s="3"/>
      <c r="O14" s="3"/>
      <c r="P14" s="3"/>
      <c r="Q14" s="3"/>
      <c r="R14" s="3"/>
      <c r="S14" s="3"/>
      <c r="T14" s="3"/>
      <c r="U14" s="3"/>
      <c r="V14" s="3"/>
      <c r="W14" s="3"/>
      <c r="X14" s="3"/>
      <c r="Y14" s="3"/>
      <c r="Z14" s="3"/>
    </row>
    <row r="15" ht="14.25" customHeight="1">
      <c r="A15" s="3"/>
      <c r="B15" s="16" t="s">
        <v>47</v>
      </c>
      <c r="C15" s="16" t="s">
        <v>53</v>
      </c>
      <c r="D15" s="16" t="s">
        <v>54</v>
      </c>
      <c r="E15" s="36">
        <v>300.0</v>
      </c>
      <c r="F15" s="3"/>
      <c r="G15" s="3"/>
      <c r="H15" s="3"/>
      <c r="I15" s="3"/>
      <c r="J15" s="3"/>
      <c r="K15" s="3"/>
      <c r="L15" s="3"/>
      <c r="M15" s="3"/>
      <c r="N15" s="3"/>
      <c r="O15" s="3"/>
      <c r="P15" s="3"/>
      <c r="Q15" s="3"/>
      <c r="R15" s="3"/>
      <c r="S15" s="3"/>
      <c r="T15" s="3"/>
      <c r="U15" s="3"/>
      <c r="V15" s="3"/>
      <c r="W15" s="3"/>
      <c r="X15" s="3"/>
      <c r="Y15" s="3"/>
      <c r="Z15" s="3"/>
    </row>
    <row r="16" ht="14.25" customHeight="1">
      <c r="A16" s="1"/>
      <c r="B16" s="16" t="s">
        <v>28</v>
      </c>
      <c r="C16" s="16" t="s">
        <v>55</v>
      </c>
      <c r="D16" s="16" t="s">
        <v>50</v>
      </c>
      <c r="E16" s="36">
        <v>100000.0</v>
      </c>
      <c r="F16" s="3"/>
      <c r="G16" s="3"/>
      <c r="H16" s="3"/>
      <c r="I16" s="3"/>
      <c r="J16" s="3"/>
      <c r="K16" s="3"/>
      <c r="L16" s="3"/>
      <c r="M16" s="3"/>
      <c r="N16" s="3"/>
      <c r="O16" s="3"/>
      <c r="P16" s="3"/>
      <c r="Q16" s="3"/>
      <c r="R16" s="3"/>
      <c r="S16" s="3"/>
      <c r="T16" s="3"/>
      <c r="U16" s="3"/>
      <c r="V16" s="3"/>
      <c r="W16" s="3"/>
      <c r="X16" s="3"/>
      <c r="Y16" s="3"/>
      <c r="Z16" s="3"/>
    </row>
    <row r="17" ht="14.25" customHeight="1">
      <c r="A17" s="3"/>
      <c r="B17" s="16" t="s">
        <v>38</v>
      </c>
      <c r="C17" s="16" t="s">
        <v>56</v>
      </c>
      <c r="D17" s="14" t="s">
        <v>54</v>
      </c>
      <c r="E17" s="36">
        <v>50000.0</v>
      </c>
      <c r="F17" s="3"/>
      <c r="G17" s="3"/>
      <c r="H17" s="3"/>
      <c r="I17" s="3"/>
      <c r="J17" s="3"/>
      <c r="K17" s="3"/>
      <c r="L17" s="3"/>
      <c r="M17" s="3"/>
      <c r="N17" s="3"/>
      <c r="O17" s="3"/>
      <c r="P17" s="3"/>
      <c r="Q17" s="3"/>
      <c r="R17" s="3"/>
      <c r="S17" s="3"/>
      <c r="T17" s="3"/>
      <c r="U17" s="3"/>
      <c r="V17" s="3"/>
      <c r="W17" s="3"/>
      <c r="X17" s="3"/>
      <c r="Y17" s="3"/>
      <c r="Z17" s="3"/>
    </row>
    <row r="18" ht="14.25" customHeight="1">
      <c r="A18" s="3"/>
      <c r="B18" s="16" t="s">
        <v>30</v>
      </c>
      <c r="C18" s="16" t="s">
        <v>53</v>
      </c>
      <c r="D18" s="14" t="s">
        <v>54</v>
      </c>
      <c r="E18" s="36">
        <v>30000.0</v>
      </c>
      <c r="F18" s="3"/>
      <c r="G18" s="3"/>
      <c r="H18" s="3"/>
      <c r="I18" s="3"/>
      <c r="J18" s="3"/>
      <c r="K18" s="3"/>
      <c r="L18" s="3"/>
      <c r="M18" s="3"/>
      <c r="N18" s="3"/>
      <c r="O18" s="3"/>
      <c r="P18" s="3"/>
      <c r="Q18" s="3"/>
      <c r="R18" s="3"/>
      <c r="S18" s="3"/>
      <c r="T18" s="3"/>
      <c r="U18" s="3"/>
      <c r="V18" s="3"/>
      <c r="W18" s="3"/>
      <c r="X18" s="3"/>
      <c r="Y18" s="3"/>
      <c r="Z18" s="3"/>
    </row>
    <row r="19" ht="14.25" customHeight="1">
      <c r="A19" s="3"/>
      <c r="B19" s="1" t="s">
        <v>21</v>
      </c>
      <c r="C19" s="16" t="s">
        <v>15</v>
      </c>
      <c r="D19" s="16" t="s">
        <v>50</v>
      </c>
      <c r="E19" s="37">
        <v>50000.0</v>
      </c>
      <c r="F19" s="3"/>
      <c r="G19" s="3"/>
      <c r="H19" s="3"/>
      <c r="I19" s="3"/>
      <c r="J19" s="3"/>
      <c r="K19" s="3"/>
      <c r="L19" s="3"/>
      <c r="M19" s="3"/>
      <c r="N19" s="3"/>
      <c r="O19" s="3"/>
      <c r="P19" s="3"/>
      <c r="Q19" s="3"/>
      <c r="R19" s="3"/>
      <c r="S19" s="3"/>
      <c r="T19" s="3"/>
      <c r="U19" s="3"/>
      <c r="V19" s="3"/>
      <c r="W19" s="3"/>
      <c r="X19" s="3"/>
      <c r="Y19" s="3"/>
      <c r="Z19" s="3"/>
    </row>
    <row r="20" ht="14.25" customHeight="1">
      <c r="A20" s="3"/>
      <c r="B20" s="20" t="s">
        <v>26</v>
      </c>
      <c r="C20" s="16" t="s">
        <v>24</v>
      </c>
      <c r="D20" s="1" t="s">
        <v>52</v>
      </c>
      <c r="E20" s="37">
        <v>20000.0</v>
      </c>
      <c r="F20" s="3"/>
      <c r="G20" s="3"/>
      <c r="H20" s="3"/>
      <c r="I20" s="3"/>
      <c r="J20" s="3"/>
      <c r="K20" s="3"/>
      <c r="L20" s="3"/>
      <c r="M20" s="3"/>
      <c r="N20" s="3"/>
      <c r="O20" s="3"/>
      <c r="P20" s="3"/>
      <c r="Q20" s="3"/>
      <c r="R20" s="3"/>
      <c r="S20" s="3"/>
      <c r="T20" s="3"/>
      <c r="U20" s="3"/>
      <c r="V20" s="3"/>
      <c r="W20" s="3"/>
      <c r="X20" s="3"/>
      <c r="Y20" s="3"/>
      <c r="Z20" s="3"/>
    </row>
    <row r="21" ht="14.25" customHeight="1">
      <c r="A21" s="3"/>
      <c r="B21" s="16" t="s">
        <v>36</v>
      </c>
      <c r="C21" s="16" t="s">
        <v>56</v>
      </c>
      <c r="D21" s="1" t="s">
        <v>54</v>
      </c>
      <c r="E21" s="37">
        <v>50000.0</v>
      </c>
      <c r="F21" s="3"/>
      <c r="G21" s="3"/>
      <c r="H21" s="3"/>
      <c r="I21" s="3"/>
      <c r="J21" s="3"/>
      <c r="K21" s="3"/>
      <c r="L21" s="3"/>
      <c r="M21" s="3"/>
      <c r="N21" s="3"/>
      <c r="O21" s="3"/>
      <c r="P21" s="3"/>
      <c r="Q21" s="3"/>
      <c r="R21" s="3"/>
      <c r="S21" s="3"/>
      <c r="T21" s="3"/>
      <c r="U21" s="3"/>
      <c r="V21" s="3"/>
      <c r="W21" s="3"/>
      <c r="X21" s="3"/>
      <c r="Y21" s="3"/>
      <c r="Z21" s="3"/>
    </row>
    <row r="22" ht="14.25" customHeight="1">
      <c r="A22" s="3"/>
      <c r="B22" s="1" t="s">
        <v>37</v>
      </c>
      <c r="C22" s="1" t="s">
        <v>56</v>
      </c>
      <c r="D22" s="1" t="s">
        <v>54</v>
      </c>
      <c r="E22" s="37">
        <v>80000.0</v>
      </c>
      <c r="F22" s="3"/>
      <c r="G22" s="3"/>
      <c r="H22" s="3"/>
      <c r="I22" s="3"/>
      <c r="J22" s="3"/>
      <c r="K22" s="3"/>
      <c r="L22" s="3"/>
      <c r="M22" s="3"/>
      <c r="N22" s="3"/>
      <c r="O22" s="3"/>
      <c r="P22" s="3"/>
      <c r="Q22" s="3"/>
      <c r="R22" s="3"/>
      <c r="S22" s="3"/>
      <c r="T22" s="3"/>
      <c r="U22" s="3"/>
      <c r="V22" s="3"/>
      <c r="W22" s="3"/>
      <c r="X22" s="3"/>
      <c r="Y22" s="3"/>
      <c r="Z22" s="3"/>
    </row>
    <row r="23" ht="14.25" customHeight="1">
      <c r="A23" s="3"/>
      <c r="B23" s="1" t="s">
        <v>27</v>
      </c>
      <c r="C23" s="1" t="s">
        <v>24</v>
      </c>
      <c r="D23" s="1" t="s">
        <v>52</v>
      </c>
      <c r="E23" s="37">
        <v>200000.0</v>
      </c>
      <c r="F23" s="3"/>
      <c r="G23" s="3"/>
      <c r="H23" s="3"/>
      <c r="I23" s="3"/>
      <c r="J23" s="3"/>
      <c r="K23" s="3"/>
      <c r="L23" s="3"/>
      <c r="M23" s="3"/>
      <c r="N23" s="3"/>
      <c r="O23" s="3"/>
      <c r="P23" s="3"/>
      <c r="Q23" s="3"/>
      <c r="R23" s="3"/>
      <c r="S23" s="3"/>
      <c r="T23" s="3"/>
      <c r="U23" s="3"/>
      <c r="V23" s="3"/>
      <c r="W23" s="3"/>
      <c r="X23" s="3"/>
      <c r="Y23" s="3"/>
      <c r="Z23" s="3"/>
    </row>
    <row r="24" ht="14.25" customHeight="1">
      <c r="A24" s="3"/>
      <c r="B24" s="1" t="s">
        <v>33</v>
      </c>
      <c r="C24" s="1" t="s">
        <v>33</v>
      </c>
      <c r="D24" s="1" t="s">
        <v>54</v>
      </c>
      <c r="E24" s="37">
        <v>40000.0</v>
      </c>
      <c r="F24" s="3"/>
      <c r="G24" s="3"/>
      <c r="H24" s="3"/>
      <c r="I24" s="3"/>
      <c r="J24" s="3"/>
      <c r="K24" s="3"/>
      <c r="L24" s="3"/>
      <c r="M24" s="3"/>
      <c r="N24" s="3"/>
      <c r="O24" s="3"/>
      <c r="P24" s="3"/>
      <c r="Q24" s="3"/>
      <c r="R24" s="3"/>
      <c r="S24" s="3"/>
      <c r="T24" s="3"/>
      <c r="U24" s="3"/>
      <c r="V24" s="3"/>
      <c r="W24" s="3"/>
      <c r="X24" s="3"/>
      <c r="Y24" s="3"/>
      <c r="Z24" s="3"/>
    </row>
    <row r="25" ht="14.25" customHeight="1">
      <c r="A25" s="3"/>
      <c r="B25" s="1" t="s">
        <v>31</v>
      </c>
      <c r="C25" s="1" t="s">
        <v>57</v>
      </c>
      <c r="D25" s="1" t="s">
        <v>54</v>
      </c>
      <c r="E25" s="37">
        <v>10000.0</v>
      </c>
      <c r="F25" s="3"/>
      <c r="G25" s="3"/>
      <c r="H25" s="3"/>
      <c r="I25" s="3"/>
      <c r="J25" s="3"/>
      <c r="K25" s="3"/>
      <c r="L25" s="3"/>
      <c r="M25" s="3"/>
      <c r="N25" s="3"/>
      <c r="O25" s="3"/>
      <c r="P25" s="3"/>
      <c r="Q25" s="3"/>
      <c r="R25" s="3"/>
      <c r="S25" s="3"/>
      <c r="T25" s="3"/>
      <c r="U25" s="3"/>
      <c r="V25" s="3"/>
      <c r="W25" s="3"/>
      <c r="X25" s="3"/>
      <c r="Y25" s="3"/>
      <c r="Z25" s="3"/>
    </row>
    <row r="26" ht="14.25" customHeight="1">
      <c r="A26" s="3"/>
      <c r="B26" s="1" t="s">
        <v>35</v>
      </c>
      <c r="C26" s="1" t="s">
        <v>56</v>
      </c>
      <c r="D26" s="1" t="s">
        <v>54</v>
      </c>
      <c r="E26" s="37">
        <v>60000.0</v>
      </c>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dataValidations>
    <dataValidation type="list" allowBlank="1" showErrorMessage="1" sqref="D7:D26">
      <formula1>"Horas / Jornadas,Cantidad,NA"</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3"/>
      <c r="B1" s="2" t="s">
        <v>1</v>
      </c>
      <c r="C1" s="3"/>
      <c r="D1" s="38"/>
      <c r="E1" s="3"/>
      <c r="F1" s="3"/>
      <c r="G1" s="3"/>
      <c r="H1" s="3"/>
      <c r="I1" s="3"/>
      <c r="J1" s="3"/>
      <c r="K1" s="3"/>
      <c r="L1" s="3"/>
      <c r="M1" s="3"/>
      <c r="N1" s="3"/>
      <c r="O1" s="3"/>
      <c r="P1" s="3"/>
      <c r="Q1" s="3"/>
      <c r="R1" s="3"/>
      <c r="S1" s="3"/>
      <c r="T1" s="3"/>
      <c r="U1" s="3"/>
      <c r="V1" s="3"/>
      <c r="W1" s="3"/>
      <c r="X1" s="3"/>
      <c r="Y1" s="3"/>
      <c r="Z1" s="3"/>
    </row>
    <row r="2" ht="14.25" customHeight="1">
      <c r="A2" s="3"/>
      <c r="B2" s="5" t="s">
        <v>3</v>
      </c>
      <c r="C2" s="3"/>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4.25" customHeight="1">
      <c r="A4" s="3"/>
      <c r="B4" s="39" t="s">
        <v>58</v>
      </c>
      <c r="C4" s="3"/>
      <c r="D4" s="3"/>
      <c r="E4" s="3"/>
      <c r="F4" s="3"/>
      <c r="G4" s="3"/>
      <c r="H4" s="3"/>
      <c r="I4" s="3"/>
      <c r="J4" s="3"/>
      <c r="K4" s="3"/>
      <c r="L4" s="3"/>
      <c r="M4" s="3"/>
      <c r="N4" s="3"/>
      <c r="O4" s="3"/>
      <c r="P4" s="3"/>
      <c r="Q4" s="3"/>
      <c r="R4" s="3"/>
      <c r="S4" s="3"/>
      <c r="T4" s="3"/>
      <c r="U4" s="3"/>
      <c r="V4" s="3"/>
      <c r="W4" s="3"/>
      <c r="X4" s="3"/>
      <c r="Y4" s="3"/>
      <c r="Z4" s="3"/>
    </row>
    <row r="5" ht="14.25" customHeight="1">
      <c r="A5" s="3"/>
      <c r="B5" s="39" t="s">
        <v>59</v>
      </c>
      <c r="C5" s="3" t="s">
        <v>60</v>
      </c>
      <c r="D5" s="3"/>
      <c r="E5" s="3"/>
      <c r="F5" s="3"/>
      <c r="G5" s="3"/>
      <c r="H5" s="3"/>
      <c r="I5" s="3"/>
      <c r="J5" s="3"/>
      <c r="K5" s="3"/>
      <c r="L5" s="3"/>
      <c r="M5" s="3"/>
      <c r="N5" s="3"/>
      <c r="O5" s="3"/>
      <c r="P5" s="3"/>
      <c r="Q5" s="3"/>
      <c r="R5" s="3"/>
      <c r="S5" s="3"/>
      <c r="T5" s="3"/>
      <c r="U5" s="3"/>
      <c r="V5" s="3"/>
      <c r="W5" s="3"/>
      <c r="X5" s="3"/>
      <c r="Y5" s="3"/>
      <c r="Z5" s="3"/>
    </row>
    <row r="6" ht="14.25" customHeight="1">
      <c r="A6" s="3"/>
      <c r="B6" s="9" t="s">
        <v>61</v>
      </c>
      <c r="C6" s="9" t="s">
        <v>62</v>
      </c>
      <c r="D6" s="3"/>
      <c r="E6" s="3"/>
      <c r="F6" s="3"/>
      <c r="G6" s="3"/>
      <c r="H6" s="3"/>
      <c r="I6" s="3"/>
      <c r="J6" s="3"/>
      <c r="K6" s="3"/>
      <c r="L6" s="3"/>
      <c r="M6" s="3"/>
      <c r="N6" s="3"/>
      <c r="O6" s="3"/>
      <c r="P6" s="3"/>
      <c r="Q6" s="3"/>
      <c r="R6" s="3"/>
      <c r="S6" s="3"/>
      <c r="T6" s="3"/>
      <c r="U6" s="3"/>
      <c r="V6" s="3"/>
      <c r="W6" s="3"/>
      <c r="X6" s="3"/>
      <c r="Y6" s="3"/>
      <c r="Z6" s="3"/>
    </row>
    <row r="7" ht="14.25" customHeight="1">
      <c r="A7" s="3"/>
      <c r="B7" s="27"/>
      <c r="C7" s="27"/>
      <c r="D7" s="14"/>
      <c r="E7" s="27"/>
      <c r="F7" s="3"/>
      <c r="G7" s="3"/>
      <c r="H7" s="3"/>
      <c r="I7" s="3"/>
      <c r="J7" s="3"/>
      <c r="K7" s="3"/>
      <c r="L7" s="3"/>
      <c r="M7" s="3"/>
      <c r="N7" s="3"/>
      <c r="O7" s="3"/>
      <c r="P7" s="3"/>
      <c r="Q7" s="3"/>
      <c r="R7" s="3"/>
      <c r="S7" s="3"/>
      <c r="T7" s="3"/>
      <c r="U7" s="3"/>
      <c r="V7" s="3"/>
      <c r="W7" s="3"/>
      <c r="X7" s="3"/>
      <c r="Y7" s="3"/>
      <c r="Z7" s="3"/>
    </row>
    <row r="8" ht="14.25" customHeight="1">
      <c r="A8" s="3"/>
      <c r="B8" s="40" t="s">
        <v>41</v>
      </c>
      <c r="C8" s="41" t="s">
        <v>63</v>
      </c>
      <c r="D8" s="14"/>
      <c r="E8" s="15"/>
      <c r="F8" s="3"/>
      <c r="G8" s="3"/>
      <c r="H8" s="3"/>
      <c r="I8" s="3"/>
      <c r="J8" s="3"/>
      <c r="K8" s="3"/>
      <c r="L8" s="3"/>
      <c r="M8" s="3"/>
      <c r="N8" s="3"/>
      <c r="O8" s="3"/>
      <c r="P8" s="3"/>
      <c r="Q8" s="3"/>
      <c r="R8" s="3"/>
      <c r="S8" s="3"/>
      <c r="T8" s="3"/>
      <c r="U8" s="3"/>
      <c r="V8" s="3"/>
      <c r="W8" s="3"/>
      <c r="X8" s="3"/>
      <c r="Y8" s="3"/>
      <c r="Z8" s="3"/>
    </row>
    <row r="9" ht="14.25" customHeight="1">
      <c r="A9" s="3"/>
      <c r="B9" s="40" t="s">
        <v>42</v>
      </c>
      <c r="C9" s="42" t="s">
        <v>64</v>
      </c>
      <c r="D9" s="3"/>
      <c r="E9" s="3"/>
      <c r="F9" s="3"/>
      <c r="G9" s="3"/>
      <c r="H9" s="3"/>
      <c r="I9" s="3"/>
      <c r="J9" s="3"/>
      <c r="K9" s="3"/>
      <c r="L9" s="3"/>
      <c r="M9" s="3"/>
      <c r="N9" s="3"/>
      <c r="O9" s="3"/>
      <c r="P9" s="3"/>
      <c r="Q9" s="3"/>
      <c r="R9" s="3"/>
      <c r="S9" s="3"/>
      <c r="T9" s="3"/>
      <c r="U9" s="3"/>
      <c r="V9" s="3"/>
      <c r="W9" s="3"/>
      <c r="X9" s="3"/>
      <c r="Y9" s="3"/>
      <c r="Z9" s="3"/>
    </row>
    <row r="10" ht="14.25" customHeight="1">
      <c r="A10" s="3"/>
      <c r="B10" s="40" t="s">
        <v>12</v>
      </c>
      <c r="C10" s="42" t="s">
        <v>65</v>
      </c>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40" t="s">
        <v>13</v>
      </c>
      <c r="C11" s="42" t="s">
        <v>66</v>
      </c>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14"/>
      <c r="C12" s="4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9" t="s">
        <v>67</v>
      </c>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9" t="s">
        <v>59</v>
      </c>
      <c r="C14" s="44" t="s">
        <v>68</v>
      </c>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9" t="s">
        <v>61</v>
      </c>
      <c r="C15" s="9" t="s">
        <v>62</v>
      </c>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27"/>
      <c r="C16" s="27"/>
      <c r="D16" s="14"/>
      <c r="E16" s="27"/>
      <c r="F16" s="3"/>
      <c r="G16" s="3"/>
      <c r="H16" s="3"/>
      <c r="I16" s="3"/>
      <c r="J16" s="3"/>
      <c r="K16" s="3"/>
      <c r="L16" s="3"/>
      <c r="M16" s="3"/>
      <c r="N16" s="3"/>
      <c r="O16" s="3"/>
      <c r="P16" s="3"/>
      <c r="Q16" s="3"/>
      <c r="R16" s="3"/>
      <c r="S16" s="3"/>
      <c r="T16" s="3"/>
      <c r="U16" s="3"/>
      <c r="V16" s="3"/>
      <c r="W16" s="3"/>
      <c r="X16" s="3"/>
      <c r="Y16" s="3"/>
      <c r="Z16" s="3"/>
    </row>
    <row r="17" ht="14.25" customHeight="1">
      <c r="A17" s="3"/>
      <c r="B17" s="40" t="s">
        <v>39</v>
      </c>
      <c r="C17" s="42" t="s">
        <v>69</v>
      </c>
      <c r="D17" s="14"/>
      <c r="E17" s="15"/>
      <c r="F17" s="3"/>
      <c r="G17" s="3"/>
      <c r="H17" s="3"/>
      <c r="I17" s="3"/>
      <c r="J17" s="3"/>
      <c r="K17" s="3"/>
      <c r="L17" s="3"/>
      <c r="M17" s="3"/>
      <c r="N17" s="3"/>
      <c r="O17" s="3"/>
      <c r="P17" s="3"/>
      <c r="Q17" s="3"/>
      <c r="R17" s="3"/>
      <c r="S17" s="3"/>
      <c r="T17" s="3"/>
      <c r="U17" s="3"/>
      <c r="V17" s="3"/>
      <c r="W17" s="3"/>
      <c r="X17" s="3"/>
      <c r="Y17" s="3"/>
      <c r="Z17" s="3"/>
    </row>
    <row r="18" ht="14.25" customHeight="1">
      <c r="A18" s="3"/>
      <c r="B18" s="40" t="s">
        <v>40</v>
      </c>
      <c r="C18" s="42" t="s">
        <v>70</v>
      </c>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40" t="s">
        <v>41</v>
      </c>
      <c r="C19" s="42" t="s">
        <v>71</v>
      </c>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40" t="s">
        <v>42</v>
      </c>
      <c r="C20" s="42" t="s">
        <v>72</v>
      </c>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40" t="s">
        <v>12</v>
      </c>
      <c r="C21" s="42" t="s">
        <v>73</v>
      </c>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40" t="s">
        <v>43</v>
      </c>
      <c r="C22" s="42" t="s">
        <v>74</v>
      </c>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40" t="s">
        <v>13</v>
      </c>
      <c r="C23" s="42" t="s">
        <v>75</v>
      </c>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40" t="s">
        <v>6</v>
      </c>
      <c r="C24" s="42" t="s">
        <v>76</v>
      </c>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9" t="s">
        <v>77</v>
      </c>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9" t="s">
        <v>59</v>
      </c>
      <c r="C27" s="44" t="s">
        <v>78</v>
      </c>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9" t="s">
        <v>61</v>
      </c>
      <c r="C28" s="9" t="s">
        <v>62</v>
      </c>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27"/>
      <c r="C29" s="27"/>
      <c r="D29" s="14"/>
      <c r="E29" s="27"/>
      <c r="F29" s="3"/>
      <c r="G29" s="3"/>
      <c r="H29" s="3"/>
      <c r="I29" s="3"/>
      <c r="J29" s="3"/>
      <c r="K29" s="3"/>
      <c r="L29" s="3"/>
      <c r="M29" s="3"/>
      <c r="N29" s="3"/>
      <c r="O29" s="3"/>
      <c r="P29" s="3"/>
      <c r="Q29" s="3"/>
      <c r="R29" s="3"/>
      <c r="S29" s="3"/>
      <c r="T29" s="3"/>
      <c r="U29" s="3"/>
      <c r="V29" s="3"/>
      <c r="W29" s="3"/>
      <c r="X29" s="3"/>
      <c r="Y29" s="3"/>
      <c r="Z29" s="3"/>
    </row>
    <row r="30" ht="14.25" customHeight="1">
      <c r="A30" s="3"/>
      <c r="B30" s="40" t="s">
        <v>10</v>
      </c>
      <c r="C30" s="42" t="s">
        <v>79</v>
      </c>
      <c r="D30" s="14"/>
      <c r="E30" s="15"/>
      <c r="F30" s="3"/>
      <c r="G30" s="3"/>
      <c r="H30" s="3"/>
      <c r="I30" s="3"/>
      <c r="J30" s="3"/>
      <c r="K30" s="3"/>
      <c r="L30" s="3"/>
      <c r="M30" s="3"/>
      <c r="N30" s="3"/>
      <c r="O30" s="3"/>
      <c r="P30" s="3"/>
      <c r="Q30" s="3"/>
      <c r="R30" s="3"/>
      <c r="S30" s="3"/>
      <c r="T30" s="3"/>
      <c r="U30" s="3"/>
      <c r="V30" s="3"/>
      <c r="W30" s="3"/>
      <c r="X30" s="3"/>
      <c r="Y30" s="3"/>
      <c r="Z30" s="3"/>
    </row>
    <row r="31" ht="14.25" customHeight="1">
      <c r="A31" s="3"/>
      <c r="B31" s="40" t="s">
        <v>11</v>
      </c>
      <c r="C31" s="42" t="s">
        <v>71</v>
      </c>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40" t="s">
        <v>12</v>
      </c>
      <c r="C32" s="42" t="s">
        <v>73</v>
      </c>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40" t="s">
        <v>13</v>
      </c>
      <c r="C33" s="42" t="s">
        <v>75</v>
      </c>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40" t="s">
        <v>6</v>
      </c>
      <c r="C34" s="42" t="s">
        <v>80</v>
      </c>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