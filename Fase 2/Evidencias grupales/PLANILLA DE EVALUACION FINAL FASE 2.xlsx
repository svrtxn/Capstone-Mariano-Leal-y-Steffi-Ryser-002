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3/Nueva carpeta/"/>
    </mc:Choice>
  </mc:AlternateContent>
  <xr:revisionPtr revIDLastSave="756" documentId="8_{2EFDF332-31E9-4C74-A6B5-E695634C1C45}" xr6:coauthVersionLast="47" xr6:coauthVersionMax="47" xr10:uidLastSave="{E093DCF4-8A8A-4A43-B255-0AAA4AE5D23D}"/>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E13" i="1"/>
  <c r="D14" i="1"/>
  <c r="E14" i="1" s="1"/>
  <c r="E15" i="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G15" i="1"/>
  <c r="J14" i="1"/>
  <c r="H14" i="1"/>
  <c r="I14" i="1" s="1"/>
  <c r="F14" i="1"/>
  <c r="G14" i="1" s="1"/>
  <c r="J13" i="1"/>
  <c r="K13" i="1" s="1"/>
  <c r="H13" i="1"/>
  <c r="I13" i="1" s="1"/>
  <c r="G13" i="1"/>
  <c r="D5" i="1" l="1"/>
  <c r="E20" i="1"/>
  <c r="G20" i="1"/>
  <c r="I20" i="1"/>
  <c r="K14" i="1"/>
  <c r="C31" i="1" l="1"/>
  <c r="C32" i="1" s="1"/>
  <c r="K20" i="1"/>
  <c r="C20" i="1" s="1"/>
  <c r="C21" i="1" s="1"/>
  <c r="D4" i="1" l="1"/>
  <c r="C5" i="1"/>
  <c r="E5" i="1" s="1"/>
  <c r="C4" i="1"/>
  <c r="E4" i="1" l="1"/>
</calcChain>
</file>

<file path=xl/sharedStrings.xml><?xml version="1.0" encoding="utf-8"?>
<sst xmlns="http://schemas.openxmlformats.org/spreadsheetml/2006/main" count="141" uniqueCount="79">
  <si>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</si>
  <si>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</si>
  <si>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</si>
  <si>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</si>
  <si>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</si>
  <si>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</si>
  <si>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</si>
  <si>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</si>
  <si>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</si>
  <si>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</si>
  <si>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</si>
  <si>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</si>
  <si>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</si>
  <si>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</si>
  <si>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</si>
  <si>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</si>
  <si>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</si>
  <si>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</si>
  <si>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</si>
  <si>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</si>
  <si>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</si>
  <si>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</si>
  <si>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</si>
  <si>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</si>
  <si>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</si>
  <si>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</si>
  <si>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</si>
  <si>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</si>
  <si>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</si>
  <si>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</si>
  <si>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</si>
  <si>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</si>
  <si>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</si>
  <si>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</si>
  <si>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</si>
  <si>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</si>
  <si>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</si>
  <si>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</si>
  <si>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</si>
  <si>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</si>
  <si>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</si>
  <si>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</si>
  <si>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</si>
  <si>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</si>
  <si>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</si>
  <si>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</si>
  <si>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</si>
  <si>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</si>
  <si>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</si>
  <si>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</si>
  <si>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</si>
  <si>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</si>
  <si>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</si>
  <si>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</si>
  <si>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</si>
  <si>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</si>
  <si>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</si>
  <si>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</si>
  <si>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</si>
  <si>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</si>
  <si>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</si>
  <si>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</si>
  <si>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</si>
  <si>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</si>
  <si>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</si>
  <si>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</si>
  <si>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</si>
  <si>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</si>
  <si>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</si>
  <si>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</si>
  <si>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</si>
  <si>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</si>
  <si>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</si>
  <si>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</si>
  <si>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</si>
  <si>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</si>
  <si>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Steffi Ryser</t>
  </si>
  <si>
    <t>Mariano Leal</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</si>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</sst>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15" sqref="D1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6.4</v>
      </c>
      <c r="D4" s="5">
        <f>$C$32</f>
        <v>5.8</v>
      </c>
      <c r="E4" s="6">
        <f>C4*C$2+D4*D$2</f>
        <v>6.2500000000000009</v>
      </c>
      <c r="G4" s="1"/>
    </row>
    <row r="5" spans="1:11" x14ac:dyDescent="0.25">
      <c r="A5" s="4">
        <v>2</v>
      </c>
      <c r="B5" s="27" t="s">
        <v>77</v>
      </c>
      <c r="C5" s="5">
        <f>EVALUACION1!$C$21</f>
        <v>6.4</v>
      </c>
      <c r="D5" s="5">
        <f>C44</f>
        <v>5.8</v>
      </c>
      <c r="E5" s="6">
        <f t="shared" ref="E5:E6" si="0">C5*C$2+D5*D$2</f>
        <v>6.2500000000000009</v>
      </c>
      <c r="G5" s="1"/>
    </row>
    <row r="6" spans="1:11" x14ac:dyDescent="0.25">
      <c r="A6" s="4">
        <v>3</v>
      </c>
      <c r="B6" s="27"/>
      <c r="C6" s="5"/>
      <c r="D6" s="5"/>
      <c r="E6" s="6"/>
      <c r="G6" s="1"/>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c r="E13" s="16" t="str">
        <f>IF(D13="X",100*0.1,"")</f>
        <v/>
      </c>
      <c r="F13" s="16" t="s">
        <v>78</v>
      </c>
      <c r="G13" s="16">
        <f>IF(F13="X",60*0.1,"")</f>
        <v>6</v>
      </c>
      <c r="H13" s="16" t="str">
        <f t="shared" ref="H13:H16" si="1">IF($C13=ML,"X","")</f>
        <v/>
      </c>
      <c r="I13" s="16" t="str">
        <f>IF(H13="X",30*0.1,"")</f>
        <v/>
      </c>
      <c r="J13" s="16" t="str">
        <f t="shared" ref="J13:J16" si="2">IF($C13=NL,"X","")</f>
        <v/>
      </c>
      <c r="K13" s="16" t="str">
        <f t="shared" ref="K13:K16" si="3">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ref="D13:D16" si="4">IF($C14=CL,"X","")</f>
        <v>X</v>
      </c>
      <c r="E14" s="16">
        <f>IF(D14="X",100*0.2,"")</f>
        <v>20</v>
      </c>
      <c r="F14" s="16" t="str">
        <f t="shared" ref="F13:F16" si="5">IF($C14=L,"X","")</f>
        <v/>
      </c>
      <c r="G14" s="16" t="str">
        <f>IF(F14="X",60*0.2,"")</f>
        <v/>
      </c>
      <c r="H14" s="16" t="str">
        <f t="shared" si="1"/>
        <v/>
      </c>
      <c r="I14" s="16" t="str">
        <f>IF(H14="X",30*0.2,"")</f>
        <v/>
      </c>
      <c r="J14" s="16" t="str">
        <f t="shared" si="2"/>
        <v/>
      </c>
      <c r="K14" s="16" t="str">
        <f t="shared" si="3"/>
        <v/>
      </c>
    </row>
    <row r="15" spans="1:11" ht="24" outlineLevel="1" x14ac:dyDescent="0.25">
      <c r="A15" s="70"/>
      <c r="B15" s="30" t="str">
        <f>RUBRICA!A7</f>
        <v>4. Relaciona el Proyecto APT con las competencias del perfil de egreso de su Plan de Estudio.</v>
      </c>
      <c r="C15" s="28" t="s">
        <v>63</v>
      </c>
      <c r="D15" s="16"/>
      <c r="E15" s="16" t="str">
        <f>IF(D15="X",100*0.05,"")</f>
        <v/>
      </c>
      <c r="F15" s="16" t="s">
        <v>78</v>
      </c>
      <c r="G15" s="16">
        <f>IF(F15="X",60*0.05,"")</f>
        <v>3</v>
      </c>
      <c r="H15" s="16" t="str">
        <f t="shared" si="1"/>
        <v/>
      </c>
      <c r="I15" s="16" t="str">
        <f>IF(H15="X",30*0.05,"")</f>
        <v/>
      </c>
      <c r="J15" s="16" t="str">
        <f t="shared" si="2"/>
        <v/>
      </c>
      <c r="K15" s="16" t="str">
        <f t="shared" si="3"/>
        <v/>
      </c>
    </row>
    <row r="16" spans="1:11" ht="24" outlineLevel="1" x14ac:dyDescent="0.25">
      <c r="A16" s="70"/>
      <c r="B16" s="30" t="str">
        <f>RUBRICA!A8</f>
        <v>5. Utiliza de manera precisa el lenguaje técnico en los entregables de acuerdo con lo requerido por la disciplina.</v>
      </c>
      <c r="C16" s="28" t="s">
        <v>63</v>
      </c>
      <c r="D16" s="16" t="str">
        <f t="shared" si="4"/>
        <v>X</v>
      </c>
      <c r="E16" s="16">
        <f>IF(D16="X",100*0.05,"")</f>
        <v>5</v>
      </c>
      <c r="F16" s="16" t="str">
        <f t="shared" si="5"/>
        <v/>
      </c>
      <c r="G16" s="16" t="str">
        <f>IF(F16="X",60*0.05,"")</f>
        <v/>
      </c>
      <c r="H16" s="16" t="str">
        <f t="shared" si="1"/>
        <v/>
      </c>
      <c r="I16" s="16" t="str">
        <f>IF(H16="X",30*0.05,"")</f>
        <v/>
      </c>
      <c r="J16" s="16" t="str">
        <f t="shared" si="2"/>
        <v/>
      </c>
      <c r="K16" s="16" t="str">
        <f t="shared" si="3"/>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7"/>
      <c r="B20" s="29" t="s">
        <v>66</v>
      </c>
      <c r="C20" s="33">
        <f>E20+G20+I20+K20</f>
        <v>69</v>
      </c>
      <c r="D20" s="19"/>
      <c r="E20" s="19">
        <f>SUM(E13:E19)</f>
        <v>60</v>
      </c>
      <c r="F20" s="19"/>
      <c r="G20" s="19">
        <f>SUM(G13:G19)</f>
        <v>9</v>
      </c>
      <c r="H20" s="19"/>
      <c r="I20" s="19">
        <f>SUM(I13:I19)</f>
        <v>0</v>
      </c>
      <c r="J20" s="19"/>
      <c r="K20" s="19">
        <f>SUM(K13:K19)</f>
        <v>0</v>
      </c>
    </row>
    <row r="21" spans="1:11" ht="15.75" customHeight="1" outlineLevel="1" x14ac:dyDescent="0.3">
      <c r="A21" s="54"/>
      <c r="B21" s="32" t="s">
        <v>67</v>
      </c>
      <c r="C21" s="20">
        <f>VLOOKUP(C20,ESCALA_IEP!A1:B152,2,FALSE)</f>
        <v>6.4</v>
      </c>
    </row>
    <row r="22" spans="1:11" ht="15.75" customHeight="1" x14ac:dyDescent="0.25"/>
    <row r="23" spans="1:11" ht="15.75" customHeight="1" x14ac:dyDescent="0.25"/>
    <row r="24" spans="1:11" ht="15.75" customHeight="1" x14ac:dyDescent="0.25">
      <c r="A24" s="66" t="s">
        <v>59</v>
      </c>
      <c r="B24" s="53" t="s">
        <v>68</v>
      </c>
      <c r="C24" s="55" t="str">
        <f>$B$4</f>
        <v>Steffi Ryser</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c r="E29" s="16" t="str">
        <f>IF(D29="X",100*0.1,"")</f>
        <v/>
      </c>
      <c r="F29" s="16" t="s">
        <v>78</v>
      </c>
      <c r="G29" s="16">
        <f>IF(F29="X",60*0.1,"")</f>
        <v>6</v>
      </c>
      <c r="H29" s="16" t="str">
        <f t="shared" si="9"/>
        <v/>
      </c>
      <c r="I29" s="16" t="str">
        <f>IF(H29="X",30*0.1,"")</f>
        <v/>
      </c>
      <c r="J29" s="16" t="str">
        <f t="shared" si="10"/>
        <v/>
      </c>
      <c r="K29" s="16" t="str">
        <f t="shared" si="11"/>
        <v/>
      </c>
    </row>
    <row r="30" spans="1:11" ht="25.9" customHeight="1" x14ac:dyDescent="0.25">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7"/>
      <c r="B31" s="21" t="s">
        <v>70</v>
      </c>
      <c r="C31" s="18">
        <f>E31+G31+I31+K31</f>
        <v>21</v>
      </c>
      <c r="D31" s="19"/>
      <c r="E31" s="19">
        <f>SUM(E28:E30)</f>
        <v>15</v>
      </c>
      <c r="F31" s="19"/>
      <c r="G31" s="19">
        <f>SUM(G28:G30)</f>
        <v>6</v>
      </c>
      <c r="H31" s="19"/>
      <c r="I31" s="19">
        <f>SUM(I28:I30)</f>
        <v>0</v>
      </c>
      <c r="J31" s="19"/>
      <c r="K31" s="19">
        <f>SUM(K29:K30)</f>
        <v>0</v>
      </c>
    </row>
    <row r="32" spans="1:11" ht="15.75" customHeight="1" x14ac:dyDescent="0.3">
      <c r="A32" s="54"/>
      <c r="B32" s="17" t="s">
        <v>67</v>
      </c>
      <c r="C32" s="20">
        <f>VLOOKUP(C31,ESCALA_TRAB_EQUIP!A1:B52,2,FALSE)</f>
        <v>5.8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t="str">
        <f>B5</f>
        <v>Mariano Leal</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c r="E41" s="16" t="str">
        <f>IF(D41="X",100*0.1,"")</f>
        <v/>
      </c>
      <c r="F41" s="16" t="s">
        <v>78</v>
      </c>
      <c r="G41" s="16">
        <f>IF(F41="X",60*0.1,"")</f>
        <v>6</v>
      </c>
      <c r="H41" s="16" t="str">
        <f t="shared" si="14"/>
        <v/>
      </c>
      <c r="I41" s="16" t="str">
        <f>IF(H41="X",30*0.1,"")</f>
        <v/>
      </c>
      <c r="J41" s="16" t="str">
        <f t="shared" si="15"/>
        <v/>
      </c>
      <c r="K41" s="16" t="str">
        <f t="shared" si="16"/>
        <v/>
      </c>
    </row>
    <row r="42" spans="1:11" x14ac:dyDescent="0.25">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7"/>
      <c r="B43" s="21" t="s">
        <v>70</v>
      </c>
      <c r="C43" s="18">
        <f>E43+G43+I43+K43</f>
        <v>21</v>
      </c>
      <c r="D43" s="19"/>
      <c r="E43" s="19">
        <f>SUM(E40:E42)</f>
        <v>15</v>
      </c>
      <c r="F43" s="19"/>
      <c r="G43" s="19">
        <f>SUM(G40:G42)</f>
        <v>6</v>
      </c>
      <c r="H43" s="19"/>
      <c r="I43" s="19">
        <f>SUM(I40:I42)</f>
        <v>0</v>
      </c>
      <c r="J43" s="19"/>
      <c r="K43" s="19">
        <f>SUM(K41:K42)</f>
        <v>0</v>
      </c>
    </row>
    <row r="44" spans="1:11" ht="15.75" customHeight="1" x14ac:dyDescent="0.3">
      <c r="A44" s="54"/>
      <c r="B44" s="17" t="s">
        <v>67</v>
      </c>
      <c r="C44" s="20">
        <f>VLOOKUP(C43,ESCALA_TRAB_EQUIP!A1:B52,2,FALSE)</f>
        <v>5.8</v>
      </c>
    </row>
    <row r="45" spans="1:11" ht="15.75" customHeight="1" x14ac:dyDescent="0.3">
      <c r="B45" s="22"/>
      <c r="C45" s="23"/>
    </row>
    <row r="46" spans="1:11" ht="15.75" customHeight="1" x14ac:dyDescent="0.3">
      <c r="B46" s="22"/>
      <c r="C46" s="23"/>
    </row>
    <row r="47" spans="1:11" ht="15.75" customHeight="1" x14ac:dyDescent="0.25">
      <c r="A47" s="66" t="s">
        <v>59</v>
      </c>
      <c r="B47" s="53" t="s">
        <v>68</v>
      </c>
      <c r="C47" s="55">
        <f>B6</f>
        <v>0</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2025-11-26T22:19:16Z</dcterms:modified>
  <cp:category/>
  <cp:contentStatus/>
</cp:coreProperties>
</file>